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Member List Report" sheetId="1" r:id="rId4"/>
  </sheets>
  <definedNames/>
  <calcPr/>
</workbook>
</file>

<file path=xl/sharedStrings.xml><?xml version="1.0" encoding="utf-8"?>
<sst xmlns="http://schemas.openxmlformats.org/spreadsheetml/2006/main" count="611" uniqueCount="392">
  <si>
    <t>Name</t>
  </si>
  <si>
    <t>Phone No</t>
  </si>
  <si>
    <t>Email</t>
  </si>
  <si>
    <t>User ID</t>
  </si>
  <si>
    <t>Purchase Date</t>
  </si>
  <si>
    <t>Expiring On</t>
  </si>
  <si>
    <t>Plan Id</t>
  </si>
  <si>
    <t>Plan Duration</t>
  </si>
  <si>
    <t>Duration Type</t>
  </si>
  <si>
    <t>Allowed Days</t>
  </si>
  <si>
    <t>Allowed Month</t>
  </si>
  <si>
    <t>Progress %</t>
  </si>
  <si>
    <t>Lessons Completed</t>
  </si>
  <si>
    <t>Total Lessons</t>
  </si>
  <si>
    <t>Certificate</t>
  </si>
  <si>
    <t>Certificate Sent Date</t>
  </si>
  <si>
    <t>Access Type</t>
  </si>
  <si>
    <t xml:space="preserve">Aravind </t>
  </si>
  <si>
    <t>+919701032481</t>
  </si>
  <si>
    <t>Aravindnpacc@gmail.com</t>
  </si>
  <si>
    <t>68c01c729db96d309c7a03b5</t>
  </si>
  <si>
    <t>2025-09-16T08:08:00.660Z</t>
  </si>
  <si>
    <t>2026-09-16T00:00:00.000Z</t>
  </si>
  <si>
    <t>68d19807983fbb0f103ec384</t>
  </si>
  <si>
    <t>Not Sent</t>
  </si>
  <si>
    <t>Package Purchase</t>
  </si>
  <si>
    <t>Ritik Barnwal</t>
  </si>
  <si>
    <t>+917549303423</t>
  </si>
  <si>
    <t>ritik171999@gmail.com</t>
  </si>
  <si>
    <t>61efe335183eb40f920d392f</t>
  </si>
  <si>
    <t>2025-09-16T05:14:40.420Z</t>
  </si>
  <si>
    <t>Kishan Chourasiya</t>
  </si>
  <si>
    <t>+919039424182</t>
  </si>
  <si>
    <t>chourasiyakishan@gmail.com</t>
  </si>
  <si>
    <t>660532ada598d042d6ef1d94</t>
  </si>
  <si>
    <t>2025-09-12T07:39:58.272Z</t>
  </si>
  <si>
    <t>2026-09-12T00:00:00.000Z</t>
  </si>
  <si>
    <t xml:space="preserve">Achal </t>
  </si>
  <si>
    <t>+919810751574</t>
  </si>
  <si>
    <t>achalgoel91@gmail.com</t>
  </si>
  <si>
    <t>666ebb20d820640bda50da32</t>
  </si>
  <si>
    <t>2025-09-12T07:39:58.175Z</t>
  </si>
  <si>
    <t>Agantika Wadikar</t>
  </si>
  <si>
    <t>+918600977004</t>
  </si>
  <si>
    <t>akashs.financial@gmail.com</t>
  </si>
  <si>
    <t>68c264138d30c630839e58ab</t>
  </si>
  <si>
    <t>2025-09-11T05:54:27.454Z</t>
  </si>
  <si>
    <t>Dipali kachhadiya</t>
  </si>
  <si>
    <t>+918980776016</t>
  </si>
  <si>
    <t>hello.kevalk@gmail.com</t>
  </si>
  <si>
    <t>68bf017db2636c3098369ea2</t>
  </si>
  <si>
    <t>2025-09-11T05:54:27.351Z</t>
  </si>
  <si>
    <t>Mihir Maniya</t>
  </si>
  <si>
    <t>+917778056799</t>
  </si>
  <si>
    <t>maniyamihir3175@gmail.com</t>
  </si>
  <si>
    <t>6689b67e88f0730bc3ead63b</t>
  </si>
  <si>
    <t>2025-09-10T07:36:12.695Z</t>
  </si>
  <si>
    <t>2026-09-10T00:00:00.000Z</t>
  </si>
  <si>
    <t xml:space="preserve">Bikas </t>
  </si>
  <si>
    <t>+918637225104</t>
  </si>
  <si>
    <t>donysingh90@gmail.com</t>
  </si>
  <si>
    <t>64b24f09bc5e380bce805219</t>
  </si>
  <si>
    <t>2025-09-10T07:36:12.237Z</t>
  </si>
  <si>
    <t xml:space="preserve">Chinmay </t>
  </si>
  <si>
    <t>+919199285278</t>
  </si>
  <si>
    <t>chinmaysekhri1@yahoo.com</t>
  </si>
  <si>
    <t>68bfcc1250636a30950d6478</t>
  </si>
  <si>
    <t>2025-09-09T06:41:22.788Z</t>
  </si>
  <si>
    <t xml:space="preserve">Ar </t>
  </si>
  <si>
    <t>+919197010324</t>
  </si>
  <si>
    <t>ar.k.chaplin@gmail.com</t>
  </si>
  <si>
    <t>68bfcbd750636a30950d635c</t>
  </si>
  <si>
    <t>2025-09-09T06:40:23.230Z</t>
  </si>
  <si>
    <t xml:space="preserve">Delhi Choco Hub </t>
  </si>
  <si>
    <t>+919198211136</t>
  </si>
  <si>
    <t>delhichocohub@gmail.com</t>
  </si>
  <si>
    <t>68bfcbd650636a30950d6345</t>
  </si>
  <si>
    <t>2025-09-09T06:40:22.846Z</t>
  </si>
  <si>
    <t xml:space="preserve">Akshay </t>
  </si>
  <si>
    <t>+919760391377</t>
  </si>
  <si>
    <t>akshaychadha2204@gmail.com</t>
  </si>
  <si>
    <t>66868995eacf070bb4092e41</t>
  </si>
  <si>
    <t>2025-09-08T09:28:50.508Z</t>
  </si>
  <si>
    <t>2026-09-09T00:00:00.000Z</t>
  </si>
  <si>
    <t xml:space="preserve">Akash </t>
  </si>
  <si>
    <t>+919711123169</t>
  </si>
  <si>
    <t>akashssw@gmail.com</t>
  </si>
  <si>
    <t>68bea1d1b2636c309833e5cc</t>
  </si>
  <si>
    <t>2025-09-08T09:28:50.078Z</t>
  </si>
  <si>
    <t>jotiramsapkal Sapkal</t>
  </si>
  <si>
    <t>+918108551551</t>
  </si>
  <si>
    <t>jotiramsapkal@gmail.com</t>
  </si>
  <si>
    <t>62525d9d61ff70210d287d93</t>
  </si>
  <si>
    <t>2025-09-08T09:28:49.978Z</t>
  </si>
  <si>
    <t>devesh kumar</t>
  </si>
  <si>
    <t>+917007423668</t>
  </si>
  <si>
    <t>devesh2832@gmail.com</t>
  </si>
  <si>
    <t>63276840cee6121cf58fe6e1</t>
  </si>
  <si>
    <t>2025-09-08T09:28:49.547Z</t>
  </si>
  <si>
    <t xml:space="preserve">Sanjay </t>
  </si>
  <si>
    <t>+919999976686</t>
  </si>
  <si>
    <t>sanjayskumar1@gmail.com</t>
  </si>
  <si>
    <t>6641cd5301fc83027e41e08a</t>
  </si>
  <si>
    <t>2025-09-08T09:28:49.129Z</t>
  </si>
  <si>
    <t xml:space="preserve">Rahul Meel </t>
  </si>
  <si>
    <t>+918003513471</t>
  </si>
  <si>
    <t>rahulmeel714@gmail.com</t>
  </si>
  <si>
    <t>68bea1d0b2636c309833e579</t>
  </si>
  <si>
    <t>2025-09-08T09:28:48.713Z</t>
  </si>
  <si>
    <t xml:space="preserve">ashishkumarjaisingh40 </t>
  </si>
  <si>
    <t>+917696140332</t>
  </si>
  <si>
    <t>ashishkumarjaisingh40@gmail.com</t>
  </si>
  <si>
    <t>6635d2fdb1430437ff4deaa6</t>
  </si>
  <si>
    <t>2025-09-08T09:28:48.546Z</t>
  </si>
  <si>
    <t xml:space="preserve">ramansinghrathore11 </t>
  </si>
  <si>
    <t>+916378932744</t>
  </si>
  <si>
    <t>ramansinghrathore11@gmail.com</t>
  </si>
  <si>
    <t>6635d058b4349537dc25570b</t>
  </si>
  <si>
    <t>2025-09-08T09:28:48.481Z</t>
  </si>
  <si>
    <t xml:space="preserve">Chandra Prakash </t>
  </si>
  <si>
    <t>+916303741432</t>
  </si>
  <si>
    <t>cpphonemot@gmail.com</t>
  </si>
  <si>
    <t>66d1563bdcb1380bcf1a5a7d</t>
  </si>
  <si>
    <t>2025-09-08T09:28:48.344Z</t>
  </si>
  <si>
    <t>Career Infowis IT Solution Pvt Ltd</t>
  </si>
  <si>
    <t>+917206166510</t>
  </si>
  <si>
    <t>ashutoshrai137@yahoo.com</t>
  </si>
  <si>
    <t>666fb024efb6c30bf2ded0ed</t>
  </si>
  <si>
    <t>2025-09-08T09:28:48.256Z</t>
  </si>
  <si>
    <t xml:space="preserve">user </t>
  </si>
  <si>
    <t>+919913423227</t>
  </si>
  <si>
    <t>parthmyatra1@gmail.com</t>
  </si>
  <si>
    <t>6346ce0330c5b01d35f1a848</t>
  </si>
  <si>
    <t>2025-09-08T09:18:55.988Z</t>
  </si>
  <si>
    <t xml:space="preserve">divyeshparakhiya09 </t>
  </si>
  <si>
    <t>+918000084800</t>
  </si>
  <si>
    <t>divyeshparakhiya09@gmail.com</t>
  </si>
  <si>
    <t>6333d708cb61211ceab2c699</t>
  </si>
  <si>
    <t>2025-09-08T09:18:55.893Z</t>
  </si>
  <si>
    <t>Saurav Biswas</t>
  </si>
  <si>
    <t>+919775818161</t>
  </si>
  <si>
    <t>sauravbiswas27@gmail.com</t>
  </si>
  <si>
    <t>66cca055fbf4810bd9fd5473</t>
  </si>
  <si>
    <t>2025-09-08T09:18:55.493Z</t>
  </si>
  <si>
    <t xml:space="preserve">One place digital Academy </t>
  </si>
  <si>
    <t>+919588465984</t>
  </si>
  <si>
    <t>oneplacedigitalacademy@gmail.com</t>
  </si>
  <si>
    <t>68be9f7eb8568030832c6dca</t>
  </si>
  <si>
    <t>2025-09-08T09:18:55.049Z</t>
  </si>
  <si>
    <t xml:space="preserve">Debayan sain </t>
  </si>
  <si>
    <t>+918918739643</t>
  </si>
  <si>
    <t>debayansainofficial@gmail.com</t>
  </si>
  <si>
    <t>63f711bc6fdb241da54de92f</t>
  </si>
  <si>
    <t>2025-09-08T09:18:54.924Z</t>
  </si>
  <si>
    <t xml:space="preserve">chinmay </t>
  </si>
  <si>
    <t>+919928527885</t>
  </si>
  <si>
    <t>chinmaysekhri@yahoo.com</t>
  </si>
  <si>
    <t>676e594a561cd33008c19528</t>
  </si>
  <si>
    <t>2025-09-08T09:18:54.848Z</t>
  </si>
  <si>
    <t xml:space="preserve">Visual View </t>
  </si>
  <si>
    <t>+918462084785</t>
  </si>
  <si>
    <t>teamvisualviewmedia@gmail.com</t>
  </si>
  <si>
    <t>68be9f7eb8568030832c6d95</t>
  </si>
  <si>
    <t>2025-09-08T09:18:54.397Z</t>
  </si>
  <si>
    <t xml:space="preserve">Digital Shree shyaam </t>
  </si>
  <si>
    <t>+917878756820</t>
  </si>
  <si>
    <t>digitalshreeshyamakhaada@gmail.com</t>
  </si>
  <si>
    <t>68be9f7db8568030832c6d80</t>
  </si>
  <si>
    <t>2025-09-08T09:18:53.983Z</t>
  </si>
  <si>
    <t xml:space="preserve">Jashandeep </t>
  </si>
  <si>
    <t>+918233531267</t>
  </si>
  <si>
    <t>jashandeep6565@gmail.com</t>
  </si>
  <si>
    <t>68be9f7db8568030832c6d6b</t>
  </si>
  <si>
    <t>2025-09-08T09:18:53.557Z</t>
  </si>
  <si>
    <t xml:space="preserve">Mauli Fartade </t>
  </si>
  <si>
    <t>+918380883752</t>
  </si>
  <si>
    <t>maulid.fartade@gmail.com</t>
  </si>
  <si>
    <t>65731f719349fa1abcd5dc25</t>
  </si>
  <si>
    <t>2025-09-08T03:57:12.733Z</t>
  </si>
  <si>
    <t>2026-09-08T03:57:11.920Z</t>
  </si>
  <si>
    <t>Rounak Jhawar</t>
  </si>
  <si>
    <t>+917776976725</t>
  </si>
  <si>
    <t>rounak.jhawar025@gmail.com</t>
  </si>
  <si>
    <t>682ad89df022052ff42a6034</t>
  </si>
  <si>
    <t>2025-08-04T13:15:52.978Z</t>
  </si>
  <si>
    <t>2025-11-04T13:15:52.932Z</t>
  </si>
  <si>
    <t>68d1a117e0f73061fb0cba46</t>
  </si>
  <si>
    <t>Course Purchase</t>
  </si>
  <si>
    <t xml:space="preserve">Sam </t>
  </si>
  <si>
    <t>+919810457843</t>
  </si>
  <si>
    <t>sam852682@gmail.com</t>
  </si>
  <si>
    <t>6890b288f1d153190adcd5ea</t>
  </si>
  <si>
    <t>2025-08-04T13:15:52.222Z</t>
  </si>
  <si>
    <t>2025-11-04T13:15:52.172Z</t>
  </si>
  <si>
    <t>Rajesh Sharma</t>
  </si>
  <si>
    <t>+917665107889</t>
  </si>
  <si>
    <t>rshrma016@gmail.com</t>
  </si>
  <si>
    <t>6818d7a581f87e308dc1b3ba</t>
  </si>
  <si>
    <t>2025-08-04T13:15:52.025Z</t>
  </si>
  <si>
    <t>2025-11-04T13:15:51.978Z</t>
  </si>
  <si>
    <t>Vp Mishra</t>
  </si>
  <si>
    <t>+919919900220</t>
  </si>
  <si>
    <t>vpmishra2573@gmail.com</t>
  </si>
  <si>
    <t>6890b287f1d153190adcd5d0</t>
  </si>
  <si>
    <t>2025-08-04T13:15:51.460Z</t>
  </si>
  <si>
    <t>2025-11-04T13:15:51.406Z</t>
  </si>
  <si>
    <t xml:space="preserve">Mohit </t>
  </si>
  <si>
    <t>+917088838481</t>
  </si>
  <si>
    <t>imy70888@gmail.com</t>
  </si>
  <si>
    <t>6645b3367d182b0bf72b90b8</t>
  </si>
  <si>
    <t>2025-08-04T13:15:51.257Z</t>
  </si>
  <si>
    <t>2025-11-04T13:15:51.209Z</t>
  </si>
  <si>
    <t>Aman Tyagi</t>
  </si>
  <si>
    <t>+917730921581</t>
  </si>
  <si>
    <t>amantyagi29@gmail.com</t>
  </si>
  <si>
    <t>674da6e69cf6c43002a19423</t>
  </si>
  <si>
    <t>2025-08-04T13:15:50.998Z</t>
  </si>
  <si>
    <t>2025-11-04T13:15:50.955Z</t>
  </si>
  <si>
    <t>Bharat Chauhan</t>
  </si>
  <si>
    <t>+918800544134</t>
  </si>
  <si>
    <t>bharatc16242@gmail.com</t>
  </si>
  <si>
    <t>64eee77fe259250ba45cee22</t>
  </si>
  <si>
    <t>2025-08-04T13:15:50.422Z</t>
  </si>
  <si>
    <t>2025-11-04T13:15:50.372Z</t>
  </si>
  <si>
    <t>Yash Chauhan</t>
  </si>
  <si>
    <t>+917017668321</t>
  </si>
  <si>
    <t>yashchauhan97@gmail.com</t>
  </si>
  <si>
    <t>6890b285f1d153190adcd59d</t>
  </si>
  <si>
    <t>2025-08-04T13:15:49.612Z</t>
  </si>
  <si>
    <t>2025-11-04T13:15:49.565Z</t>
  </si>
  <si>
    <t xml:space="preserve">Rahul Singh </t>
  </si>
  <si>
    <t>+916398213389</t>
  </si>
  <si>
    <t>ajaysingh10878@gmail.com</t>
  </si>
  <si>
    <t>6678a92d76be0e0b88b01ce6</t>
  </si>
  <si>
    <t>2025-08-04T13:15:49.408Z</t>
  </si>
  <si>
    <t>2025-11-04T13:15:49.352Z</t>
  </si>
  <si>
    <t>Anoop Kumar</t>
  </si>
  <si>
    <t>+919810799942</t>
  </si>
  <si>
    <t>kumaranoop83@gmail.com</t>
  </si>
  <si>
    <t>65b2b471680a881d09b06f18</t>
  </si>
  <si>
    <t>2025-08-04T13:15:48.827Z</t>
  </si>
  <si>
    <t>2025-11-04T13:15:48.773Z</t>
  </si>
  <si>
    <t>Mehul Arora</t>
  </si>
  <si>
    <t>+918685900111</t>
  </si>
  <si>
    <t>mehularora177@gmail.com</t>
  </si>
  <si>
    <t>6890b284f1d153190adcd56e</t>
  </si>
  <si>
    <t>2025-08-04T13:15:48.229Z</t>
  </si>
  <si>
    <t>2025-11-04T13:15:48.174Z</t>
  </si>
  <si>
    <t>M b</t>
  </si>
  <si>
    <t>+919069750506</t>
  </si>
  <si>
    <t>rajneshsingh306@gmail.com</t>
  </si>
  <si>
    <t>6635d341b1430437ff4df904</t>
  </si>
  <si>
    <t>2025-08-04T13:15:48.016Z</t>
  </si>
  <si>
    <t>2025-11-04T13:15:47.965Z</t>
  </si>
  <si>
    <t>Pintu prajapat</t>
  </si>
  <si>
    <t>+917740814265</t>
  </si>
  <si>
    <t>pprajapatofficial@gmail.com</t>
  </si>
  <si>
    <t>66842826b7efa00bd76d4ffc</t>
  </si>
  <si>
    <t>2025-08-04T13:15:47.804Z</t>
  </si>
  <si>
    <t>2025-11-04T13:15:47.751Z</t>
  </si>
  <si>
    <t>Akash Maurya</t>
  </si>
  <si>
    <t>+919760119957</t>
  </si>
  <si>
    <t>akashmaurya097@gmail.com</t>
  </si>
  <si>
    <t>6890b283f1d153190adcd54a</t>
  </si>
  <si>
    <t>2025-08-04T13:15:47.230Z</t>
  </si>
  <si>
    <t>2025-11-04T13:15:47.177Z</t>
  </si>
  <si>
    <t xml:space="preserve">Happy </t>
  </si>
  <si>
    <t>+919671565013</t>
  </si>
  <si>
    <t>infowithhappy@gmail.com</t>
  </si>
  <si>
    <t>6890b282f1d153190adcd538</t>
  </si>
  <si>
    <t>2025-08-04T13:15:46.647Z</t>
  </si>
  <si>
    <t>2025-11-04T13:15:46.598Z</t>
  </si>
  <si>
    <t xml:space="preserve">Rajat </t>
  </si>
  <si>
    <t>+917357707573</t>
  </si>
  <si>
    <t>Rajat73577@gmail.com</t>
  </si>
  <si>
    <t>62ade6008b2b9e215387a7a5</t>
  </si>
  <si>
    <t>2025-08-04T13:15:46.068Z</t>
  </si>
  <si>
    <t>2025-11-04T13:15:46.013Z</t>
  </si>
  <si>
    <t xml:space="preserve">Volcape </t>
  </si>
  <si>
    <t>+919557955887</t>
  </si>
  <si>
    <t>volcape@gmail.com</t>
  </si>
  <si>
    <t>6890b281f1d153190adcd515</t>
  </si>
  <si>
    <t>2025-08-04T13:15:45.487Z</t>
  </si>
  <si>
    <t>2025-11-04T13:15:45.337Z</t>
  </si>
  <si>
    <t xml:space="preserve">Ritik </t>
  </si>
  <si>
    <t>+919560293241</t>
  </si>
  <si>
    <t>imritikkhandelwal@gmail.com</t>
  </si>
  <si>
    <t>668979483cce310bb9749cc0</t>
  </si>
  <si>
    <t>2025-08-04T13:15:44.815Z</t>
  </si>
  <si>
    <t>2025-11-04T13:15:44.763Z</t>
  </si>
  <si>
    <t xml:space="preserve">Vaibhav </t>
  </si>
  <si>
    <t>+919773679721</t>
  </si>
  <si>
    <t>vaibhavganj@gmail.com</t>
  </si>
  <si>
    <t>6890b280f1d153190adcd4f2</t>
  </si>
  <si>
    <t>2025-08-04T13:15:44.237Z</t>
  </si>
  <si>
    <t>2025-11-04T13:15:44.180Z</t>
  </si>
  <si>
    <t xml:space="preserve">Devesh </t>
  </si>
  <si>
    <t>+917017581511</t>
  </si>
  <si>
    <t>deveshraj43@gmail.com</t>
  </si>
  <si>
    <t>6890b27ff1d153190adcd4e0</t>
  </si>
  <si>
    <t>2025-08-04T13:15:43.163Z</t>
  </si>
  <si>
    <t>2025-11-04T13:15:43.104Z</t>
  </si>
  <si>
    <t>Aakash Goel</t>
  </si>
  <si>
    <t>+916396975204</t>
  </si>
  <si>
    <t>aakashgoel2002@gmail.com</t>
  </si>
  <si>
    <t>6890b27ef1d153190adcd4ca</t>
  </si>
  <si>
    <t>2025-08-04T13:15:42.572Z</t>
  </si>
  <si>
    <t>2025-11-04T13:15:42.502Z</t>
  </si>
  <si>
    <t>Shiv Sehgal</t>
  </si>
  <si>
    <t>+918076220915</t>
  </si>
  <si>
    <t>shivsehgal2000@gmail.com</t>
  </si>
  <si>
    <t>65dc79166cafcd0bdd56aa39</t>
  </si>
  <si>
    <t>2025-08-04T13:15:42.351Z</t>
  </si>
  <si>
    <t>2025-11-04T13:15:42.293Z</t>
  </si>
  <si>
    <t>akshayshukla824 SHukla</t>
  </si>
  <si>
    <t>+917999621130</t>
  </si>
  <si>
    <t>akshayshukla824@gmail.com</t>
  </si>
  <si>
    <t>6635dd73b4349537dc257ad7</t>
  </si>
  <si>
    <t>2025-08-04T13:15:42.127Z</t>
  </si>
  <si>
    <t>2025-11-04T13:15:42.074Z</t>
  </si>
  <si>
    <t>Shubham Sibgh</t>
  </si>
  <si>
    <t>+918287386279</t>
  </si>
  <si>
    <t>shubhamsingh899999@gmail.com</t>
  </si>
  <si>
    <t>6890b27df1d153190adcd4a6</t>
  </si>
  <si>
    <t>2025-08-04T13:15:41.554Z</t>
  </si>
  <si>
    <t>2025-11-04T13:15:41.497Z</t>
  </si>
  <si>
    <t>Mayank Arora</t>
  </si>
  <si>
    <t>+919625816699</t>
  </si>
  <si>
    <t>mayankarora02051999@gmail.com</t>
  </si>
  <si>
    <t>6833be8efd93102ff8532614</t>
  </si>
  <si>
    <t>2025-08-04T13:15:41.341Z</t>
  </si>
  <si>
    <t>2025-11-04T13:15:41.285Z</t>
  </si>
  <si>
    <t>Abhishek jain</t>
  </si>
  <si>
    <t>+919953442955</t>
  </si>
  <si>
    <t>abhishekmjain032004@gmail.com</t>
  </si>
  <si>
    <t>67419e0b6888892fe71518d4</t>
  </si>
  <si>
    <t>2025-08-04T13:15:41.139Z</t>
  </si>
  <si>
    <t>2025-11-04T13:15:41.089Z</t>
  </si>
  <si>
    <t xml:space="preserve">Anurag </t>
  </si>
  <si>
    <t>+919760403272</t>
  </si>
  <si>
    <t>anuragrawatanu@gmail.com</t>
  </si>
  <si>
    <t>6890b27cf1d153190adcd484</t>
  </si>
  <si>
    <t>2025-08-04T13:15:40.579Z</t>
  </si>
  <si>
    <t>2025-11-04T13:15:40.531Z</t>
  </si>
  <si>
    <t>archanasingh5262 SIngh</t>
  </si>
  <si>
    <t>+918690906006</t>
  </si>
  <si>
    <t>archanasingh5262@gmail.com</t>
  </si>
  <si>
    <t>6635d274b1430437ff4dcdf1</t>
  </si>
  <si>
    <t>2025-08-04T13:15:40.378Z</t>
  </si>
  <si>
    <t>2025-11-04T13:15:40.324Z</t>
  </si>
  <si>
    <t>Avek Kumar</t>
  </si>
  <si>
    <t>+919991728249</t>
  </si>
  <si>
    <t>avekkumar123@gmail.com</t>
  </si>
  <si>
    <t>66fbcaca1d5790300304abc4</t>
  </si>
  <si>
    <t>2025-08-04T13:15:40.155Z</t>
  </si>
  <si>
    <t>2025-11-04T13:15:40.100Z</t>
  </si>
  <si>
    <t xml:space="preserve">Deepak </t>
  </si>
  <si>
    <t>+919996143294</t>
  </si>
  <si>
    <t>deepakmaratha3332@gmail.com</t>
  </si>
  <si>
    <t>6890b27bf1d153190adcd45d</t>
  </si>
  <si>
    <t>2025-08-04T13:15:39.581Z</t>
  </si>
  <si>
    <t>2025-11-04T13:15:39.528Z</t>
  </si>
  <si>
    <t>Jai Mourya</t>
  </si>
  <si>
    <t>+919129152288</t>
  </si>
  <si>
    <t>Aimarketing552288@gmail.com</t>
  </si>
  <si>
    <t>676cef145450b13012616c87</t>
  </si>
  <si>
    <t>2025-08-04T13:15:38.896Z</t>
  </si>
  <si>
    <t>2025-11-04T13:15:38.839Z</t>
  </si>
  <si>
    <t>Shiv Shankar Verma verma</t>
  </si>
  <si>
    <t>+918700808285</t>
  </si>
  <si>
    <t>vermashiv1998@gmail.com</t>
  </si>
  <si>
    <t>676d36500cad633011ef5bcc</t>
  </si>
  <si>
    <t>2025-08-04T13:15:38.686Z</t>
  </si>
  <si>
    <t>2025-11-04T13:15:38.625Z</t>
  </si>
  <si>
    <t>Shikhar Srivastav</t>
  </si>
  <si>
    <t>+918174036462</t>
  </si>
  <si>
    <t>shikharnigam3@gmail.com</t>
  </si>
  <si>
    <t>6890b27af1d153190adcd439</t>
  </si>
  <si>
    <t>2025-08-04T13:15:38.095Z</t>
  </si>
  <si>
    <t>2025-11-04T13:15:38.045Z</t>
  </si>
  <si>
    <t xml:space="preserve">Arjun </t>
  </si>
  <si>
    <t>+917300206478</t>
  </si>
  <si>
    <t>arjunabbie2553@gmail.com</t>
  </si>
  <si>
    <t>6890b279f1d153190adcd427</t>
  </si>
  <si>
    <t>2025-08-04T13:15:37.423Z</t>
  </si>
  <si>
    <t>2025-11-04T13:15:37.370Z</t>
  </si>
  <si>
    <t>Ketan Sharma</t>
  </si>
  <si>
    <t>+919711086860</t>
  </si>
  <si>
    <t>ketan_sharma_2007@yahoo.com</t>
  </si>
  <si>
    <t>6890b278f1d153190adcd415</t>
  </si>
  <si>
    <t>2025-08-04T13:15:36.803Z</t>
  </si>
  <si>
    <t>2025-11-04T13:15:36.715Z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</si>
</sst>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/>
      <c r="O1" s="1"/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f t="shared" ref="H2:H67" si="1">SWITCH(L2,
 1, 1,
 3, 3,
 6, 6,
 12, 1,
 "Unknown")
</f>
        <v>1</v>
      </c>
      <c r="I2" s="1" t="str">
        <f t="shared" ref="I2:I67" si="2">SWITCH(L2,
 1, "month",
 3, "months",
 6, "months",
 12, "year",
 "Unknown")
</f>
        <v>year</v>
      </c>
      <c r="J2" s="1"/>
      <c r="K2" s="1">
        <f t="shared" ref="K2:K67" si="3">DATEDIF(
  DATEVALUE(MID(E2,1,10)) + TIMEVALUE(MID(E2,12,8)),
  DATEVALUE(MID(F2,1,10)) + TIMEVALUE(MID(F2,12,8)),
  "d"
)</f>
        <v>365</v>
      </c>
      <c r="L2" s="1">
        <f t="shared" ref="L2:L67" si="4">DATEDIF(
  DATEVALUE(MID(E2,1,10)) + TIMEVALUE(MID(E2,12,8)),
  DATEVALUE(MID(F2,1,10)) + TIMEVALUE(MID(F2,12,8)),
  "m"
)</f>
        <v>12</v>
      </c>
      <c r="M2" s="1"/>
      <c r="N2" s="1"/>
      <c r="O2" s="1"/>
      <c r="P2" s="1">
        <v>12.5</v>
      </c>
      <c r="Q2" s="1">
        <v>3.0</v>
      </c>
      <c r="R2" s="1">
        <v>24.0</v>
      </c>
      <c r="S2" s="1" t="s">
        <v>24</v>
      </c>
      <c r="U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22</v>
      </c>
      <c r="G3" s="1" t="s">
        <v>23</v>
      </c>
      <c r="H3" s="1">
        <f t="shared" si="1"/>
        <v>1</v>
      </c>
      <c r="I3" s="1" t="str">
        <f t="shared" si="2"/>
        <v>year</v>
      </c>
      <c r="J3" s="1"/>
      <c r="K3" s="1">
        <f t="shared" si="3"/>
        <v>365</v>
      </c>
      <c r="L3" s="1">
        <f t="shared" si="4"/>
        <v>12</v>
      </c>
      <c r="M3" s="1"/>
      <c r="N3" s="1"/>
      <c r="O3" s="1"/>
      <c r="P3" s="1">
        <v>0.0</v>
      </c>
      <c r="Q3" s="1">
        <v>0.0</v>
      </c>
      <c r="R3" s="1">
        <v>24.0</v>
      </c>
      <c r="S3" s="1" t="s">
        <v>24</v>
      </c>
      <c r="U3" s="1" t="s">
        <v>25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23</v>
      </c>
      <c r="H4" s="1">
        <f t="shared" si="1"/>
        <v>1</v>
      </c>
      <c r="I4" s="1" t="str">
        <f t="shared" si="2"/>
        <v>year</v>
      </c>
      <c r="J4" s="1"/>
      <c r="K4" s="1">
        <f t="shared" si="3"/>
        <v>365</v>
      </c>
      <c r="L4" s="1">
        <f t="shared" si="4"/>
        <v>12</v>
      </c>
      <c r="M4" s="1"/>
      <c r="N4" s="1"/>
      <c r="O4" s="1"/>
      <c r="P4" s="1">
        <v>0.0</v>
      </c>
      <c r="Q4" s="1">
        <v>0.0</v>
      </c>
      <c r="R4" s="1">
        <v>24.0</v>
      </c>
      <c r="S4" s="1" t="s">
        <v>24</v>
      </c>
      <c r="U4" s="1" t="s">
        <v>25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36</v>
      </c>
      <c r="G5" s="1" t="s">
        <v>23</v>
      </c>
      <c r="H5" s="1">
        <f t="shared" si="1"/>
        <v>1</v>
      </c>
      <c r="I5" s="1" t="str">
        <f t="shared" si="2"/>
        <v>year</v>
      </c>
      <c r="J5" s="1"/>
      <c r="K5" s="1">
        <f t="shared" si="3"/>
        <v>365</v>
      </c>
      <c r="L5" s="1">
        <f t="shared" si="4"/>
        <v>12</v>
      </c>
      <c r="M5" s="1"/>
      <c r="N5" s="1"/>
      <c r="O5" s="1"/>
      <c r="P5" s="1">
        <v>12.5</v>
      </c>
      <c r="Q5" s="1">
        <v>3.0</v>
      </c>
      <c r="R5" s="1">
        <v>24.0</v>
      </c>
      <c r="S5" s="1" t="s">
        <v>24</v>
      </c>
      <c r="U5" s="1" t="s">
        <v>25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36</v>
      </c>
      <c r="G6" s="1" t="s">
        <v>23</v>
      </c>
      <c r="H6" s="1">
        <f t="shared" si="1"/>
        <v>1</v>
      </c>
      <c r="I6" s="1" t="str">
        <f t="shared" si="2"/>
        <v>year</v>
      </c>
      <c r="J6" s="1"/>
      <c r="K6" s="1">
        <f t="shared" si="3"/>
        <v>366</v>
      </c>
      <c r="L6" s="1">
        <f t="shared" si="4"/>
        <v>12</v>
      </c>
      <c r="M6" s="1"/>
      <c r="N6" s="1"/>
      <c r="O6" s="1"/>
      <c r="P6" s="1">
        <v>0.0</v>
      </c>
      <c r="Q6" s="1">
        <v>0.0</v>
      </c>
      <c r="R6" s="1">
        <v>24.0</v>
      </c>
      <c r="S6" s="1" t="s">
        <v>24</v>
      </c>
      <c r="U6" s="1" t="s">
        <v>25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36</v>
      </c>
      <c r="G7" s="1" t="s">
        <v>23</v>
      </c>
      <c r="H7" s="1">
        <f t="shared" si="1"/>
        <v>1</v>
      </c>
      <c r="I7" s="1" t="str">
        <f t="shared" si="2"/>
        <v>year</v>
      </c>
      <c r="J7" s="1"/>
      <c r="K7" s="1">
        <f t="shared" si="3"/>
        <v>366</v>
      </c>
      <c r="L7" s="1">
        <f t="shared" si="4"/>
        <v>12</v>
      </c>
      <c r="M7" s="1"/>
      <c r="N7" s="1"/>
      <c r="O7" s="1"/>
      <c r="P7" s="1">
        <v>41.7</v>
      </c>
      <c r="Q7" s="1">
        <v>10.0</v>
      </c>
      <c r="R7" s="1">
        <v>24.0</v>
      </c>
      <c r="S7" s="1" t="s">
        <v>24</v>
      </c>
      <c r="U7" s="1" t="s">
        <v>25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23</v>
      </c>
      <c r="H8" s="1">
        <f t="shared" si="1"/>
        <v>1</v>
      </c>
      <c r="I8" s="1" t="str">
        <f t="shared" si="2"/>
        <v>year</v>
      </c>
      <c r="J8" s="1"/>
      <c r="K8" s="1">
        <f t="shared" si="3"/>
        <v>365</v>
      </c>
      <c r="L8" s="1">
        <f t="shared" si="4"/>
        <v>12</v>
      </c>
      <c r="M8" s="1"/>
      <c r="N8" s="1"/>
      <c r="O8" s="1"/>
      <c r="P8" s="1">
        <v>37.5</v>
      </c>
      <c r="Q8" s="1">
        <v>9.0</v>
      </c>
      <c r="R8" s="1">
        <v>24.0</v>
      </c>
      <c r="S8" s="1" t="s">
        <v>24</v>
      </c>
      <c r="U8" s="1" t="s">
        <v>25</v>
      </c>
    </row>
    <row r="9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57</v>
      </c>
      <c r="G9" s="1" t="s">
        <v>23</v>
      </c>
      <c r="H9" s="1">
        <f t="shared" si="1"/>
        <v>1</v>
      </c>
      <c r="I9" s="1" t="str">
        <f t="shared" si="2"/>
        <v>year</v>
      </c>
      <c r="J9" s="1"/>
      <c r="K9" s="1">
        <f t="shared" si="3"/>
        <v>365</v>
      </c>
      <c r="L9" s="1">
        <f t="shared" si="4"/>
        <v>12</v>
      </c>
      <c r="M9" s="1"/>
      <c r="N9" s="1"/>
      <c r="O9" s="1"/>
      <c r="P9" s="1">
        <v>0.0</v>
      </c>
      <c r="Q9" s="1">
        <v>0.0</v>
      </c>
      <c r="R9" s="1">
        <v>24.0</v>
      </c>
      <c r="S9" s="1" t="s">
        <v>24</v>
      </c>
      <c r="U9" s="1" t="s">
        <v>25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57</v>
      </c>
      <c r="G10" s="1" t="s">
        <v>23</v>
      </c>
      <c r="H10" s="1">
        <f t="shared" si="1"/>
        <v>1</v>
      </c>
      <c r="I10" s="1" t="str">
        <f t="shared" si="2"/>
        <v>year</v>
      </c>
      <c r="J10" s="1"/>
      <c r="K10" s="1">
        <f t="shared" si="3"/>
        <v>366</v>
      </c>
      <c r="L10" s="1">
        <f t="shared" si="4"/>
        <v>12</v>
      </c>
      <c r="M10" s="1"/>
      <c r="N10" s="1"/>
      <c r="O10" s="1"/>
      <c r="P10" s="1">
        <v>0.0</v>
      </c>
      <c r="Q10" s="1">
        <v>0.0</v>
      </c>
      <c r="R10" s="1">
        <v>24.0</v>
      </c>
      <c r="S10" s="1" t="s">
        <v>24</v>
      </c>
      <c r="U10" s="1" t="s">
        <v>25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57</v>
      </c>
      <c r="G11" s="1" t="s">
        <v>23</v>
      </c>
      <c r="H11" s="1">
        <f t="shared" si="1"/>
        <v>1</v>
      </c>
      <c r="I11" s="1" t="str">
        <f t="shared" si="2"/>
        <v>year</v>
      </c>
      <c r="J11" s="1"/>
      <c r="K11" s="1">
        <f t="shared" si="3"/>
        <v>366</v>
      </c>
      <c r="L11" s="1">
        <f t="shared" si="4"/>
        <v>12</v>
      </c>
      <c r="M11" s="1"/>
      <c r="N11" s="1"/>
      <c r="O11" s="1"/>
      <c r="P11" s="1">
        <v>0.0</v>
      </c>
      <c r="Q11" s="1">
        <v>0.0</v>
      </c>
      <c r="R11" s="1">
        <v>24.0</v>
      </c>
      <c r="S11" s="1" t="s">
        <v>24</v>
      </c>
      <c r="U11" s="1" t="s">
        <v>25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57</v>
      </c>
      <c r="G12" s="1" t="s">
        <v>23</v>
      </c>
      <c r="H12" s="1">
        <f t="shared" si="1"/>
        <v>1</v>
      </c>
      <c r="I12" s="1" t="str">
        <f t="shared" si="2"/>
        <v>year</v>
      </c>
      <c r="J12" s="1"/>
      <c r="K12" s="1">
        <f t="shared" si="3"/>
        <v>366</v>
      </c>
      <c r="L12" s="1">
        <f t="shared" si="4"/>
        <v>12</v>
      </c>
      <c r="M12" s="1"/>
      <c r="N12" s="1"/>
      <c r="O12" s="1"/>
      <c r="P12" s="1">
        <v>0.0</v>
      </c>
      <c r="Q12" s="1">
        <v>0.0</v>
      </c>
      <c r="R12" s="1">
        <v>24.0</v>
      </c>
      <c r="S12" s="1" t="s">
        <v>24</v>
      </c>
      <c r="U12" s="1" t="s">
        <v>25</v>
      </c>
    </row>
    <row r="1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23</v>
      </c>
      <c r="H13" s="1">
        <f t="shared" si="1"/>
        <v>1</v>
      </c>
      <c r="I13" s="1" t="str">
        <f t="shared" si="2"/>
        <v>year</v>
      </c>
      <c r="J13" s="1"/>
      <c r="K13" s="1">
        <f t="shared" si="3"/>
        <v>366</v>
      </c>
      <c r="L13" s="1">
        <f t="shared" si="4"/>
        <v>12</v>
      </c>
      <c r="M13" s="1"/>
      <c r="N13" s="1"/>
      <c r="O13" s="1"/>
      <c r="P13" s="1">
        <v>54.2</v>
      </c>
      <c r="Q13" s="1">
        <v>13.0</v>
      </c>
      <c r="R13" s="1">
        <v>24.0</v>
      </c>
      <c r="S13" s="1" t="s">
        <v>24</v>
      </c>
      <c r="U13" s="1" t="s">
        <v>25</v>
      </c>
    </row>
    <row r="14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83</v>
      </c>
      <c r="G14" s="1" t="s">
        <v>23</v>
      </c>
      <c r="H14" s="1">
        <f t="shared" si="1"/>
        <v>1</v>
      </c>
      <c r="I14" s="1" t="str">
        <f t="shared" si="2"/>
        <v>year</v>
      </c>
      <c r="J14" s="1"/>
      <c r="K14" s="1">
        <f t="shared" si="3"/>
        <v>366</v>
      </c>
      <c r="L14" s="1">
        <f t="shared" si="4"/>
        <v>12</v>
      </c>
      <c r="M14" s="1"/>
      <c r="N14" s="1"/>
      <c r="O14" s="1"/>
      <c r="P14" s="1">
        <v>0.0</v>
      </c>
      <c r="Q14" s="1">
        <v>0.0</v>
      </c>
      <c r="R14" s="1">
        <v>24.0</v>
      </c>
      <c r="S14" s="1" t="s">
        <v>24</v>
      </c>
      <c r="U14" s="1" t="s">
        <v>25</v>
      </c>
    </row>
    <row r="15">
      <c r="A15" s="1" t="s">
        <v>89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83</v>
      </c>
      <c r="G15" s="1" t="s">
        <v>23</v>
      </c>
      <c r="H15" s="1">
        <f t="shared" si="1"/>
        <v>1</v>
      </c>
      <c r="I15" s="1" t="str">
        <f t="shared" si="2"/>
        <v>year</v>
      </c>
      <c r="J15" s="1"/>
      <c r="K15" s="1">
        <f t="shared" si="3"/>
        <v>366</v>
      </c>
      <c r="L15" s="1">
        <f t="shared" si="4"/>
        <v>12</v>
      </c>
      <c r="M15" s="1"/>
      <c r="N15" s="1"/>
      <c r="O15" s="1"/>
      <c r="P15" s="1">
        <v>0.0</v>
      </c>
      <c r="Q15" s="1">
        <v>0.0</v>
      </c>
      <c r="R15" s="1">
        <v>24.0</v>
      </c>
      <c r="S15" s="1" t="s">
        <v>24</v>
      </c>
      <c r="U15" s="1" t="s">
        <v>25</v>
      </c>
    </row>
    <row r="16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83</v>
      </c>
      <c r="G16" s="1" t="s">
        <v>23</v>
      </c>
      <c r="H16" s="1">
        <f t="shared" si="1"/>
        <v>1</v>
      </c>
      <c r="I16" s="1" t="str">
        <f t="shared" si="2"/>
        <v>year</v>
      </c>
      <c r="J16" s="1"/>
      <c r="K16" s="1">
        <f t="shared" si="3"/>
        <v>366</v>
      </c>
      <c r="L16" s="1">
        <f t="shared" si="4"/>
        <v>12</v>
      </c>
      <c r="M16" s="1"/>
      <c r="N16" s="1"/>
      <c r="O16" s="1"/>
      <c r="P16" s="1">
        <v>12.5</v>
      </c>
      <c r="Q16" s="1">
        <v>3.0</v>
      </c>
      <c r="R16" s="1">
        <v>24.0</v>
      </c>
      <c r="S16" s="1" t="s">
        <v>24</v>
      </c>
      <c r="U16" s="1" t="s">
        <v>25</v>
      </c>
    </row>
    <row r="17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83</v>
      </c>
      <c r="G17" s="1" t="s">
        <v>23</v>
      </c>
      <c r="H17" s="1">
        <f t="shared" si="1"/>
        <v>1</v>
      </c>
      <c r="I17" s="1" t="str">
        <f t="shared" si="2"/>
        <v>year</v>
      </c>
      <c r="J17" s="1"/>
      <c r="K17" s="1">
        <f t="shared" si="3"/>
        <v>366</v>
      </c>
      <c r="L17" s="1">
        <f t="shared" si="4"/>
        <v>12</v>
      </c>
      <c r="M17" s="1"/>
      <c r="N17" s="1"/>
      <c r="O17" s="1"/>
      <c r="P17" s="1">
        <v>41.7</v>
      </c>
      <c r="Q17" s="1">
        <v>10.0</v>
      </c>
      <c r="R17" s="1">
        <v>24.0</v>
      </c>
      <c r="S17" s="1" t="s">
        <v>24</v>
      </c>
      <c r="U17" s="1" t="s">
        <v>25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83</v>
      </c>
      <c r="G18" s="1" t="s">
        <v>23</v>
      </c>
      <c r="H18" s="1">
        <f t="shared" si="1"/>
        <v>1</v>
      </c>
      <c r="I18" s="1" t="str">
        <f t="shared" si="2"/>
        <v>year</v>
      </c>
      <c r="J18" s="1"/>
      <c r="K18" s="1">
        <f t="shared" si="3"/>
        <v>366</v>
      </c>
      <c r="L18" s="1">
        <f t="shared" si="4"/>
        <v>12</v>
      </c>
      <c r="M18" s="1"/>
      <c r="N18" s="1"/>
      <c r="O18" s="1"/>
      <c r="P18" s="1">
        <v>0.0</v>
      </c>
      <c r="Q18" s="1">
        <v>0.0</v>
      </c>
      <c r="R18" s="1">
        <v>24.0</v>
      </c>
      <c r="S18" s="1" t="s">
        <v>24</v>
      </c>
      <c r="U18" s="1" t="s">
        <v>25</v>
      </c>
    </row>
    <row r="19">
      <c r="A19" s="1" t="s">
        <v>109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83</v>
      </c>
      <c r="G19" s="1" t="s">
        <v>23</v>
      </c>
      <c r="H19" s="1">
        <f t="shared" si="1"/>
        <v>1</v>
      </c>
      <c r="I19" s="1" t="str">
        <f t="shared" si="2"/>
        <v>year</v>
      </c>
      <c r="J19" s="1"/>
      <c r="K19" s="1">
        <f t="shared" si="3"/>
        <v>366</v>
      </c>
      <c r="L19" s="1">
        <f t="shared" si="4"/>
        <v>12</v>
      </c>
      <c r="M19" s="1"/>
      <c r="N19" s="1"/>
      <c r="O19" s="1"/>
      <c r="P19" s="1">
        <v>8.3</v>
      </c>
      <c r="Q19" s="1">
        <v>2.0</v>
      </c>
      <c r="R19" s="1">
        <v>24.0</v>
      </c>
      <c r="S19" s="1" t="s">
        <v>24</v>
      </c>
      <c r="U19" s="1" t="s">
        <v>25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83</v>
      </c>
      <c r="G20" s="1" t="s">
        <v>23</v>
      </c>
      <c r="H20" s="1">
        <f t="shared" si="1"/>
        <v>1</v>
      </c>
      <c r="I20" s="1" t="str">
        <f t="shared" si="2"/>
        <v>year</v>
      </c>
      <c r="J20" s="1"/>
      <c r="K20" s="1">
        <f t="shared" si="3"/>
        <v>366</v>
      </c>
      <c r="L20" s="1">
        <f t="shared" si="4"/>
        <v>12</v>
      </c>
      <c r="M20" s="1"/>
      <c r="N20" s="1"/>
      <c r="O20" s="1"/>
      <c r="P20" s="1">
        <v>20.8</v>
      </c>
      <c r="Q20" s="1">
        <v>5.0</v>
      </c>
      <c r="R20" s="1">
        <v>24.0</v>
      </c>
      <c r="S20" s="1" t="s">
        <v>24</v>
      </c>
      <c r="U20" s="1" t="s">
        <v>25</v>
      </c>
    </row>
    <row r="21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83</v>
      </c>
      <c r="G21" s="1" t="s">
        <v>23</v>
      </c>
      <c r="H21" s="1">
        <f t="shared" si="1"/>
        <v>1</v>
      </c>
      <c r="I21" s="1" t="str">
        <f t="shared" si="2"/>
        <v>year</v>
      </c>
      <c r="J21" s="1"/>
      <c r="K21" s="1">
        <f t="shared" si="3"/>
        <v>366</v>
      </c>
      <c r="L21" s="1">
        <f t="shared" si="4"/>
        <v>12</v>
      </c>
      <c r="M21" s="1"/>
      <c r="N21" s="1"/>
      <c r="O21" s="1"/>
      <c r="P21" s="1">
        <v>4.2</v>
      </c>
      <c r="Q21" s="1">
        <v>1.0</v>
      </c>
      <c r="R21" s="1">
        <v>24.0</v>
      </c>
      <c r="S21" s="1" t="s">
        <v>24</v>
      </c>
      <c r="U21" s="1" t="s">
        <v>25</v>
      </c>
    </row>
    <row r="22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83</v>
      </c>
      <c r="G22" s="1" t="s">
        <v>23</v>
      </c>
      <c r="H22" s="1">
        <f t="shared" si="1"/>
        <v>1</v>
      </c>
      <c r="I22" s="1" t="str">
        <f t="shared" si="2"/>
        <v>year</v>
      </c>
      <c r="J22" s="1"/>
      <c r="K22" s="1">
        <f t="shared" si="3"/>
        <v>366</v>
      </c>
      <c r="L22" s="1">
        <f t="shared" si="4"/>
        <v>12</v>
      </c>
      <c r="M22" s="1"/>
      <c r="N22" s="1"/>
      <c r="O22" s="1"/>
      <c r="P22" s="1">
        <v>0.0</v>
      </c>
      <c r="Q22" s="1">
        <v>0.0</v>
      </c>
      <c r="R22" s="1">
        <v>24.0</v>
      </c>
      <c r="S22" s="1" t="s">
        <v>24</v>
      </c>
      <c r="U22" s="1" t="s">
        <v>25</v>
      </c>
    </row>
    <row r="23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133</v>
      </c>
      <c r="F23" s="1" t="s">
        <v>83</v>
      </c>
      <c r="G23" s="1" t="s">
        <v>23</v>
      </c>
      <c r="H23" s="1">
        <f t="shared" si="1"/>
        <v>1</v>
      </c>
      <c r="I23" s="1" t="str">
        <f t="shared" si="2"/>
        <v>year</v>
      </c>
      <c r="J23" s="1"/>
      <c r="K23" s="1">
        <f t="shared" si="3"/>
        <v>366</v>
      </c>
      <c r="L23" s="1">
        <f t="shared" si="4"/>
        <v>12</v>
      </c>
      <c r="M23" s="1"/>
      <c r="N23" s="1"/>
      <c r="O23" s="1"/>
      <c r="P23" s="1">
        <v>45.8</v>
      </c>
      <c r="Q23" s="1">
        <v>11.0</v>
      </c>
      <c r="R23" s="1">
        <v>24.0</v>
      </c>
      <c r="S23" s="1" t="s">
        <v>24</v>
      </c>
      <c r="U23" s="1" t="s">
        <v>25</v>
      </c>
    </row>
    <row r="24">
      <c r="A24" s="1" t="s">
        <v>134</v>
      </c>
      <c r="B24" s="1" t="s">
        <v>135</v>
      </c>
      <c r="C24" s="1" t="s">
        <v>136</v>
      </c>
      <c r="D24" s="1" t="s">
        <v>137</v>
      </c>
      <c r="E24" s="1" t="s">
        <v>138</v>
      </c>
      <c r="F24" s="1" t="s">
        <v>83</v>
      </c>
      <c r="G24" s="1" t="s">
        <v>23</v>
      </c>
      <c r="H24" s="1">
        <f t="shared" si="1"/>
        <v>1</v>
      </c>
      <c r="I24" s="1" t="str">
        <f t="shared" si="2"/>
        <v>year</v>
      </c>
      <c r="J24" s="1"/>
      <c r="K24" s="1">
        <f t="shared" si="3"/>
        <v>366</v>
      </c>
      <c r="L24" s="1">
        <f t="shared" si="4"/>
        <v>12</v>
      </c>
      <c r="M24" s="1"/>
      <c r="N24" s="1"/>
      <c r="O24" s="1"/>
      <c r="P24" s="1">
        <v>4.2</v>
      </c>
      <c r="Q24" s="1">
        <v>1.0</v>
      </c>
      <c r="R24" s="1">
        <v>24.0</v>
      </c>
      <c r="S24" s="1" t="s">
        <v>24</v>
      </c>
      <c r="U24" s="1" t="s">
        <v>25</v>
      </c>
    </row>
    <row r="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1" t="s">
        <v>83</v>
      </c>
      <c r="G25" s="1" t="s">
        <v>23</v>
      </c>
      <c r="H25" s="1">
        <f t="shared" si="1"/>
        <v>1</v>
      </c>
      <c r="I25" s="1" t="str">
        <f t="shared" si="2"/>
        <v>year</v>
      </c>
      <c r="J25" s="1"/>
      <c r="K25" s="1">
        <f t="shared" si="3"/>
        <v>366</v>
      </c>
      <c r="L25" s="1">
        <f t="shared" si="4"/>
        <v>12</v>
      </c>
      <c r="M25" s="1"/>
      <c r="N25" s="1"/>
      <c r="O25" s="1"/>
      <c r="P25" s="1">
        <v>0.0</v>
      </c>
      <c r="Q25" s="1">
        <v>0.0</v>
      </c>
      <c r="R25" s="1">
        <v>24.0</v>
      </c>
      <c r="S25" s="1" t="s">
        <v>24</v>
      </c>
      <c r="U25" s="1" t="s">
        <v>25</v>
      </c>
    </row>
    <row r="26">
      <c r="A26" s="1" t="s">
        <v>144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83</v>
      </c>
      <c r="G26" s="1" t="s">
        <v>23</v>
      </c>
      <c r="H26" s="1">
        <f t="shared" si="1"/>
        <v>1</v>
      </c>
      <c r="I26" s="1" t="str">
        <f t="shared" si="2"/>
        <v>year</v>
      </c>
      <c r="J26" s="1"/>
      <c r="K26" s="1">
        <f t="shared" si="3"/>
        <v>366</v>
      </c>
      <c r="L26" s="1">
        <f t="shared" si="4"/>
        <v>12</v>
      </c>
      <c r="M26" s="1"/>
      <c r="N26" s="1"/>
      <c r="O26" s="1"/>
      <c r="P26" s="1">
        <v>8.3</v>
      </c>
      <c r="Q26" s="1">
        <v>2.0</v>
      </c>
      <c r="R26" s="1">
        <v>24.0</v>
      </c>
      <c r="S26" s="1" t="s">
        <v>24</v>
      </c>
      <c r="U26" s="1" t="s">
        <v>25</v>
      </c>
    </row>
    <row r="27">
      <c r="A27" s="1" t="s">
        <v>149</v>
      </c>
      <c r="B27" s="1" t="s">
        <v>150</v>
      </c>
      <c r="C27" s="1" t="s">
        <v>151</v>
      </c>
      <c r="D27" s="1" t="s">
        <v>152</v>
      </c>
      <c r="E27" s="1" t="s">
        <v>153</v>
      </c>
      <c r="F27" s="1" t="s">
        <v>83</v>
      </c>
      <c r="G27" s="1" t="s">
        <v>23</v>
      </c>
      <c r="H27" s="1">
        <f t="shared" si="1"/>
        <v>1</v>
      </c>
      <c r="I27" s="1" t="str">
        <f t="shared" si="2"/>
        <v>year</v>
      </c>
      <c r="J27" s="1"/>
      <c r="K27" s="1">
        <f t="shared" si="3"/>
        <v>366</v>
      </c>
      <c r="L27" s="1">
        <f t="shared" si="4"/>
        <v>12</v>
      </c>
      <c r="M27" s="1"/>
      <c r="N27" s="1"/>
      <c r="O27" s="1"/>
      <c r="P27" s="1">
        <v>12.5</v>
      </c>
      <c r="Q27" s="1">
        <v>3.0</v>
      </c>
      <c r="R27" s="1">
        <v>24.0</v>
      </c>
      <c r="S27" s="1" t="s">
        <v>24</v>
      </c>
      <c r="U27" s="1" t="s">
        <v>25</v>
      </c>
    </row>
    <row r="28">
      <c r="A28" s="1" t="s">
        <v>154</v>
      </c>
      <c r="B28" s="1" t="s">
        <v>155</v>
      </c>
      <c r="C28" s="1" t="s">
        <v>156</v>
      </c>
      <c r="D28" s="1" t="s">
        <v>157</v>
      </c>
      <c r="E28" s="1" t="s">
        <v>158</v>
      </c>
      <c r="F28" s="1" t="s">
        <v>83</v>
      </c>
      <c r="G28" s="1" t="s">
        <v>23</v>
      </c>
      <c r="H28" s="1">
        <f t="shared" si="1"/>
        <v>1</v>
      </c>
      <c r="I28" s="1" t="str">
        <f t="shared" si="2"/>
        <v>year</v>
      </c>
      <c r="J28" s="1"/>
      <c r="K28" s="1">
        <f t="shared" si="3"/>
        <v>366</v>
      </c>
      <c r="L28" s="1">
        <f t="shared" si="4"/>
        <v>12</v>
      </c>
      <c r="M28" s="1"/>
      <c r="N28" s="1"/>
      <c r="O28" s="1"/>
      <c r="P28" s="1">
        <v>0.0</v>
      </c>
      <c r="Q28" s="1">
        <v>0.0</v>
      </c>
      <c r="R28" s="1">
        <v>24.0</v>
      </c>
      <c r="S28" s="1" t="s">
        <v>24</v>
      </c>
      <c r="U28" s="1" t="s">
        <v>25</v>
      </c>
    </row>
    <row r="29">
      <c r="A29" s="1" t="s">
        <v>159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83</v>
      </c>
      <c r="G29" s="1" t="s">
        <v>23</v>
      </c>
      <c r="H29" s="1">
        <f t="shared" si="1"/>
        <v>1</v>
      </c>
      <c r="I29" s="1" t="str">
        <f t="shared" si="2"/>
        <v>year</v>
      </c>
      <c r="J29" s="1"/>
      <c r="K29" s="1">
        <f t="shared" si="3"/>
        <v>366</v>
      </c>
      <c r="L29" s="1">
        <f t="shared" si="4"/>
        <v>12</v>
      </c>
      <c r="M29" s="1"/>
      <c r="N29" s="1"/>
      <c r="O29" s="1"/>
      <c r="P29" s="1">
        <v>8.3</v>
      </c>
      <c r="Q29" s="1">
        <v>2.0</v>
      </c>
      <c r="R29" s="1">
        <v>24.0</v>
      </c>
      <c r="S29" s="1" t="s">
        <v>24</v>
      </c>
      <c r="U29" s="1" t="s">
        <v>25</v>
      </c>
    </row>
    <row r="30">
      <c r="A30" s="1" t="s">
        <v>164</v>
      </c>
      <c r="B30" s="1" t="s">
        <v>165</v>
      </c>
      <c r="C30" s="1" t="s">
        <v>166</v>
      </c>
      <c r="D30" s="1" t="s">
        <v>167</v>
      </c>
      <c r="E30" s="1" t="s">
        <v>168</v>
      </c>
      <c r="F30" s="1" t="s">
        <v>83</v>
      </c>
      <c r="G30" s="1" t="s">
        <v>23</v>
      </c>
      <c r="H30" s="1">
        <f t="shared" si="1"/>
        <v>1</v>
      </c>
      <c r="I30" s="1" t="str">
        <f t="shared" si="2"/>
        <v>year</v>
      </c>
      <c r="J30" s="1"/>
      <c r="K30" s="1">
        <f t="shared" si="3"/>
        <v>366</v>
      </c>
      <c r="L30" s="1">
        <f t="shared" si="4"/>
        <v>12</v>
      </c>
      <c r="M30" s="1"/>
      <c r="N30" s="1"/>
      <c r="O30" s="1"/>
      <c r="P30" s="1">
        <v>37.5</v>
      </c>
      <c r="Q30" s="1">
        <v>9.0</v>
      </c>
      <c r="R30" s="1">
        <v>24.0</v>
      </c>
      <c r="S30" s="1" t="s">
        <v>24</v>
      </c>
      <c r="U30" s="1" t="s">
        <v>25</v>
      </c>
    </row>
    <row r="31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83</v>
      </c>
      <c r="G31" s="1" t="s">
        <v>23</v>
      </c>
      <c r="H31" s="1">
        <f t="shared" si="1"/>
        <v>1</v>
      </c>
      <c r="I31" s="1" t="str">
        <f t="shared" si="2"/>
        <v>year</v>
      </c>
      <c r="J31" s="1"/>
      <c r="K31" s="1">
        <f t="shared" si="3"/>
        <v>366</v>
      </c>
      <c r="L31" s="1">
        <f t="shared" si="4"/>
        <v>12</v>
      </c>
      <c r="M31" s="1"/>
      <c r="N31" s="1"/>
      <c r="O31" s="1"/>
      <c r="P31" s="1">
        <v>20.8</v>
      </c>
      <c r="Q31" s="1">
        <v>5.0</v>
      </c>
      <c r="R31" s="1">
        <v>24.0</v>
      </c>
      <c r="S31" s="1" t="s">
        <v>24</v>
      </c>
      <c r="U31" s="1" t="s">
        <v>25</v>
      </c>
    </row>
    <row r="32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23</v>
      </c>
      <c r="H32" s="1">
        <f t="shared" si="1"/>
        <v>1</v>
      </c>
      <c r="I32" s="1" t="str">
        <f t="shared" si="2"/>
        <v>year</v>
      </c>
      <c r="J32" s="1"/>
      <c r="K32" s="1">
        <f t="shared" si="3"/>
        <v>365</v>
      </c>
      <c r="L32" s="1">
        <f t="shared" si="4"/>
        <v>12</v>
      </c>
      <c r="M32" s="1"/>
      <c r="N32" s="1"/>
      <c r="O32" s="1"/>
      <c r="P32" s="1">
        <v>4.2</v>
      </c>
      <c r="Q32" s="1">
        <v>1.0</v>
      </c>
      <c r="R32" s="1">
        <v>24.0</v>
      </c>
      <c r="S32" s="1" t="s">
        <v>24</v>
      </c>
      <c r="U32" s="1" t="s">
        <v>25</v>
      </c>
    </row>
    <row r="33">
      <c r="A33" s="1" t="s">
        <v>180</v>
      </c>
      <c r="B33" s="1" t="s">
        <v>181</v>
      </c>
      <c r="C33" s="1" t="s">
        <v>182</v>
      </c>
      <c r="D33" s="1" t="s">
        <v>183</v>
      </c>
      <c r="E33" s="1" t="s">
        <v>184</v>
      </c>
      <c r="F33" s="1" t="s">
        <v>185</v>
      </c>
      <c r="G33" s="1" t="s">
        <v>186</v>
      </c>
      <c r="H33" s="1">
        <f t="shared" si="1"/>
        <v>3</v>
      </c>
      <c r="I33" s="1" t="str">
        <f t="shared" si="2"/>
        <v>months</v>
      </c>
      <c r="J33" s="1"/>
      <c r="K33" s="1">
        <f t="shared" si="3"/>
        <v>92</v>
      </c>
      <c r="L33" s="1">
        <f t="shared" si="4"/>
        <v>3</v>
      </c>
      <c r="M33" s="1"/>
      <c r="N33" s="1"/>
      <c r="O33" s="1"/>
      <c r="P33" s="1">
        <v>0.0</v>
      </c>
      <c r="Q33" s="1">
        <v>0.0</v>
      </c>
      <c r="R33" s="1">
        <v>24.0</v>
      </c>
      <c r="S33" s="1" t="s">
        <v>24</v>
      </c>
      <c r="U33" s="1" t="s">
        <v>187</v>
      </c>
    </row>
    <row r="34">
      <c r="A34" s="1" t="s">
        <v>188</v>
      </c>
      <c r="B34" s="1" t="s">
        <v>189</v>
      </c>
      <c r="C34" s="1" t="s">
        <v>190</v>
      </c>
      <c r="D34" s="1" t="s">
        <v>191</v>
      </c>
      <c r="E34" s="1" t="s">
        <v>192</v>
      </c>
      <c r="F34" s="1" t="s">
        <v>193</v>
      </c>
      <c r="G34" s="2" t="s">
        <v>186</v>
      </c>
      <c r="H34" s="1">
        <f t="shared" si="1"/>
        <v>3</v>
      </c>
      <c r="I34" s="1" t="str">
        <f t="shared" si="2"/>
        <v>months</v>
      </c>
      <c r="J34" s="1"/>
      <c r="K34" s="1">
        <f t="shared" si="3"/>
        <v>92</v>
      </c>
      <c r="L34" s="1">
        <f t="shared" si="4"/>
        <v>3</v>
      </c>
      <c r="M34" s="1"/>
      <c r="N34" s="1"/>
      <c r="O34" s="1"/>
      <c r="P34" s="1">
        <v>0.0</v>
      </c>
      <c r="Q34" s="1">
        <v>0.0</v>
      </c>
      <c r="R34" s="1">
        <v>24.0</v>
      </c>
      <c r="S34" s="1" t="s">
        <v>24</v>
      </c>
      <c r="U34" s="1" t="s">
        <v>187</v>
      </c>
    </row>
    <row r="35">
      <c r="A35" s="1" t="s">
        <v>194</v>
      </c>
      <c r="B35" s="1" t="s">
        <v>195</v>
      </c>
      <c r="C35" s="1" t="s">
        <v>196</v>
      </c>
      <c r="D35" s="1" t="s">
        <v>197</v>
      </c>
      <c r="E35" s="1" t="s">
        <v>198</v>
      </c>
      <c r="F35" s="1" t="s">
        <v>199</v>
      </c>
      <c r="G35" s="1" t="s">
        <v>186</v>
      </c>
      <c r="H35" s="1">
        <f t="shared" si="1"/>
        <v>3</v>
      </c>
      <c r="I35" s="1" t="str">
        <f t="shared" si="2"/>
        <v>months</v>
      </c>
      <c r="J35" s="1"/>
      <c r="K35" s="1">
        <f t="shared" si="3"/>
        <v>92</v>
      </c>
      <c r="L35" s="1">
        <f t="shared" si="4"/>
        <v>3</v>
      </c>
      <c r="M35" s="1"/>
      <c r="N35" s="1"/>
      <c r="O35" s="1"/>
      <c r="P35" s="1">
        <v>4.2</v>
      </c>
      <c r="Q35" s="1">
        <v>1.0</v>
      </c>
      <c r="R35" s="1">
        <v>24.0</v>
      </c>
      <c r="S35" s="1" t="s">
        <v>24</v>
      </c>
      <c r="U35" s="1" t="s">
        <v>187</v>
      </c>
    </row>
    <row r="36">
      <c r="A36" s="1" t="s">
        <v>200</v>
      </c>
      <c r="B36" s="1" t="s">
        <v>201</v>
      </c>
      <c r="C36" s="1" t="s">
        <v>202</v>
      </c>
      <c r="D36" s="1" t="s">
        <v>203</v>
      </c>
      <c r="E36" s="1" t="s">
        <v>204</v>
      </c>
      <c r="F36" s="1" t="s">
        <v>205</v>
      </c>
      <c r="G36" s="2" t="s">
        <v>186</v>
      </c>
      <c r="H36" s="1">
        <f t="shared" si="1"/>
        <v>3</v>
      </c>
      <c r="I36" s="1" t="str">
        <f t="shared" si="2"/>
        <v>months</v>
      </c>
      <c r="J36" s="1"/>
      <c r="K36" s="1">
        <f t="shared" si="3"/>
        <v>92</v>
      </c>
      <c r="L36" s="1">
        <f t="shared" si="4"/>
        <v>3</v>
      </c>
      <c r="M36" s="1"/>
      <c r="N36" s="1"/>
      <c r="O36" s="1"/>
      <c r="P36" s="1">
        <v>0.0</v>
      </c>
      <c r="Q36" s="1">
        <v>0.0</v>
      </c>
      <c r="R36" s="1">
        <v>24.0</v>
      </c>
      <c r="S36" s="1" t="s">
        <v>24</v>
      </c>
      <c r="U36" s="1" t="s">
        <v>187</v>
      </c>
    </row>
    <row r="37">
      <c r="A37" s="1" t="s">
        <v>206</v>
      </c>
      <c r="B37" s="1" t="s">
        <v>207</v>
      </c>
      <c r="C37" s="1" t="s">
        <v>208</v>
      </c>
      <c r="D37" s="1" t="s">
        <v>209</v>
      </c>
      <c r="E37" s="1" t="s">
        <v>210</v>
      </c>
      <c r="F37" s="1" t="s">
        <v>211</v>
      </c>
      <c r="G37" s="1" t="s">
        <v>186</v>
      </c>
      <c r="H37" s="1">
        <f t="shared" si="1"/>
        <v>3</v>
      </c>
      <c r="I37" s="1" t="str">
        <f t="shared" si="2"/>
        <v>months</v>
      </c>
      <c r="J37" s="1"/>
      <c r="K37" s="1">
        <f t="shared" si="3"/>
        <v>92</v>
      </c>
      <c r="L37" s="1">
        <f t="shared" si="4"/>
        <v>3</v>
      </c>
      <c r="M37" s="1"/>
      <c r="N37" s="1"/>
      <c r="O37" s="1"/>
      <c r="P37" s="1">
        <v>0.0</v>
      </c>
      <c r="Q37" s="1">
        <v>0.0</v>
      </c>
      <c r="R37" s="1">
        <v>24.0</v>
      </c>
      <c r="S37" s="1" t="s">
        <v>24</v>
      </c>
      <c r="U37" s="1" t="s">
        <v>187</v>
      </c>
    </row>
    <row r="38">
      <c r="A38" s="1" t="s">
        <v>212</v>
      </c>
      <c r="B38" s="1" t="s">
        <v>213</v>
      </c>
      <c r="C38" s="1" t="s">
        <v>214</v>
      </c>
      <c r="D38" s="1" t="s">
        <v>215</v>
      </c>
      <c r="E38" s="1" t="s">
        <v>216</v>
      </c>
      <c r="F38" s="1" t="s">
        <v>217</v>
      </c>
      <c r="G38" s="2" t="s">
        <v>186</v>
      </c>
      <c r="H38" s="1">
        <f t="shared" si="1"/>
        <v>3</v>
      </c>
      <c r="I38" s="1" t="str">
        <f t="shared" si="2"/>
        <v>months</v>
      </c>
      <c r="J38" s="1"/>
      <c r="K38" s="1">
        <f t="shared" si="3"/>
        <v>92</v>
      </c>
      <c r="L38" s="1">
        <f t="shared" si="4"/>
        <v>3</v>
      </c>
      <c r="M38" s="1"/>
      <c r="N38" s="1"/>
      <c r="O38" s="1"/>
      <c r="P38" s="1">
        <v>4.2</v>
      </c>
      <c r="Q38" s="1">
        <v>1.0</v>
      </c>
      <c r="R38" s="1">
        <v>24.0</v>
      </c>
      <c r="S38" s="1" t="s">
        <v>24</v>
      </c>
      <c r="U38" s="1" t="s">
        <v>187</v>
      </c>
    </row>
    <row r="39">
      <c r="A39" s="1" t="s">
        <v>218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186</v>
      </c>
      <c r="H39" s="1">
        <f t="shared" si="1"/>
        <v>3</v>
      </c>
      <c r="I39" s="1" t="str">
        <f t="shared" si="2"/>
        <v>months</v>
      </c>
      <c r="J39" s="1"/>
      <c r="K39" s="1">
        <f t="shared" si="3"/>
        <v>92</v>
      </c>
      <c r="L39" s="1">
        <f t="shared" si="4"/>
        <v>3</v>
      </c>
      <c r="M39" s="1"/>
      <c r="N39" s="1"/>
      <c r="O39" s="1"/>
      <c r="P39" s="1">
        <v>0.0</v>
      </c>
      <c r="Q39" s="1">
        <v>0.0</v>
      </c>
      <c r="R39" s="1">
        <v>24.0</v>
      </c>
      <c r="S39" s="1" t="s">
        <v>24</v>
      </c>
      <c r="U39" s="1" t="s">
        <v>187</v>
      </c>
    </row>
    <row r="40">
      <c r="A40" s="1" t="s">
        <v>224</v>
      </c>
      <c r="B40" s="1" t="s">
        <v>225</v>
      </c>
      <c r="C40" s="1" t="s">
        <v>226</v>
      </c>
      <c r="D40" s="1" t="s">
        <v>227</v>
      </c>
      <c r="E40" s="1" t="s">
        <v>228</v>
      </c>
      <c r="F40" s="1" t="s">
        <v>229</v>
      </c>
      <c r="G40" s="2" t="s">
        <v>186</v>
      </c>
      <c r="H40" s="1">
        <f t="shared" si="1"/>
        <v>3</v>
      </c>
      <c r="I40" s="1" t="str">
        <f t="shared" si="2"/>
        <v>months</v>
      </c>
      <c r="J40" s="1"/>
      <c r="K40" s="1">
        <f t="shared" si="3"/>
        <v>92</v>
      </c>
      <c r="L40" s="1">
        <f t="shared" si="4"/>
        <v>3</v>
      </c>
      <c r="M40" s="1"/>
      <c r="N40" s="1"/>
      <c r="O40" s="1"/>
      <c r="P40" s="1">
        <v>0.0</v>
      </c>
      <c r="Q40" s="1">
        <v>0.0</v>
      </c>
      <c r="R40" s="1">
        <v>24.0</v>
      </c>
      <c r="S40" s="1" t="s">
        <v>24</v>
      </c>
      <c r="U40" s="1" t="s">
        <v>187</v>
      </c>
    </row>
    <row r="41">
      <c r="A41" s="1" t="s">
        <v>230</v>
      </c>
      <c r="B41" s="1" t="s">
        <v>231</v>
      </c>
      <c r="C41" s="1" t="s">
        <v>232</v>
      </c>
      <c r="D41" s="1" t="s">
        <v>233</v>
      </c>
      <c r="E41" s="1" t="s">
        <v>234</v>
      </c>
      <c r="F41" s="1" t="s">
        <v>235</v>
      </c>
      <c r="G41" s="1" t="s">
        <v>186</v>
      </c>
      <c r="H41" s="1">
        <f t="shared" si="1"/>
        <v>3</v>
      </c>
      <c r="I41" s="1" t="str">
        <f t="shared" si="2"/>
        <v>months</v>
      </c>
      <c r="J41" s="1"/>
      <c r="K41" s="1">
        <f t="shared" si="3"/>
        <v>92</v>
      </c>
      <c r="L41" s="1">
        <f t="shared" si="4"/>
        <v>3</v>
      </c>
      <c r="M41" s="1"/>
      <c r="N41" s="1"/>
      <c r="O41" s="1"/>
      <c r="P41" s="1">
        <v>0.0</v>
      </c>
      <c r="Q41" s="1">
        <v>0.0</v>
      </c>
      <c r="R41" s="1">
        <v>24.0</v>
      </c>
      <c r="S41" s="1" t="s">
        <v>24</v>
      </c>
      <c r="U41" s="1" t="s">
        <v>187</v>
      </c>
    </row>
    <row r="42">
      <c r="A42" s="1" t="s">
        <v>236</v>
      </c>
      <c r="B42" s="1" t="s">
        <v>237</v>
      </c>
      <c r="C42" s="1" t="s">
        <v>238</v>
      </c>
      <c r="D42" s="1" t="s">
        <v>239</v>
      </c>
      <c r="E42" s="1" t="s">
        <v>240</v>
      </c>
      <c r="F42" s="1" t="s">
        <v>241</v>
      </c>
      <c r="G42" s="2" t="s">
        <v>186</v>
      </c>
      <c r="H42" s="1">
        <f t="shared" si="1"/>
        <v>3</v>
      </c>
      <c r="I42" s="1" t="str">
        <f t="shared" si="2"/>
        <v>months</v>
      </c>
      <c r="J42" s="1"/>
      <c r="K42" s="1">
        <f t="shared" si="3"/>
        <v>92</v>
      </c>
      <c r="L42" s="1">
        <f t="shared" si="4"/>
        <v>3</v>
      </c>
      <c r="M42" s="1"/>
      <c r="N42" s="1"/>
      <c r="O42" s="1"/>
      <c r="P42" s="1">
        <v>0.0</v>
      </c>
      <c r="Q42" s="1">
        <v>0.0</v>
      </c>
      <c r="R42" s="1">
        <v>24.0</v>
      </c>
      <c r="S42" s="1" t="s">
        <v>24</v>
      </c>
      <c r="U42" s="1" t="s">
        <v>187</v>
      </c>
    </row>
    <row r="43">
      <c r="A43" s="1" t="s">
        <v>242</v>
      </c>
      <c r="B43" s="1" t="s">
        <v>243</v>
      </c>
      <c r="C43" s="1" t="s">
        <v>244</v>
      </c>
      <c r="D43" s="1" t="s">
        <v>245</v>
      </c>
      <c r="E43" s="1" t="s">
        <v>246</v>
      </c>
      <c r="F43" s="1" t="s">
        <v>247</v>
      </c>
      <c r="G43" s="1" t="s">
        <v>186</v>
      </c>
      <c r="H43" s="1">
        <f t="shared" si="1"/>
        <v>3</v>
      </c>
      <c r="I43" s="1" t="str">
        <f t="shared" si="2"/>
        <v>months</v>
      </c>
      <c r="J43" s="1"/>
      <c r="K43" s="1">
        <f t="shared" si="3"/>
        <v>92</v>
      </c>
      <c r="L43" s="1">
        <f t="shared" si="4"/>
        <v>3</v>
      </c>
      <c r="M43" s="1"/>
      <c r="N43" s="1"/>
      <c r="O43" s="1"/>
      <c r="P43" s="1">
        <v>0.0</v>
      </c>
      <c r="Q43" s="1">
        <v>0.0</v>
      </c>
      <c r="R43" s="1">
        <v>24.0</v>
      </c>
      <c r="S43" s="1" t="s">
        <v>24</v>
      </c>
      <c r="U43" s="1" t="s">
        <v>187</v>
      </c>
    </row>
    <row r="44">
      <c r="A44" s="1" t="s">
        <v>248</v>
      </c>
      <c r="B44" s="1" t="s">
        <v>249</v>
      </c>
      <c r="C44" s="1" t="s">
        <v>250</v>
      </c>
      <c r="D44" s="1" t="s">
        <v>251</v>
      </c>
      <c r="E44" s="1" t="s">
        <v>252</v>
      </c>
      <c r="F44" s="1" t="s">
        <v>253</v>
      </c>
      <c r="G44" s="2" t="s">
        <v>186</v>
      </c>
      <c r="H44" s="1">
        <f t="shared" si="1"/>
        <v>3</v>
      </c>
      <c r="I44" s="1" t="str">
        <f t="shared" si="2"/>
        <v>months</v>
      </c>
      <c r="J44" s="1"/>
      <c r="K44" s="1">
        <f t="shared" si="3"/>
        <v>92</v>
      </c>
      <c r="L44" s="1">
        <f t="shared" si="4"/>
        <v>3</v>
      </c>
      <c r="M44" s="1"/>
      <c r="N44" s="1"/>
      <c r="O44" s="1"/>
      <c r="P44" s="1">
        <v>4.2</v>
      </c>
      <c r="Q44" s="1">
        <v>1.0</v>
      </c>
      <c r="R44" s="1">
        <v>24.0</v>
      </c>
      <c r="S44" s="1" t="s">
        <v>24</v>
      </c>
      <c r="U44" s="1" t="s">
        <v>187</v>
      </c>
    </row>
    <row r="45">
      <c r="A45" s="1" t="s">
        <v>254</v>
      </c>
      <c r="B45" s="1" t="s">
        <v>255</v>
      </c>
      <c r="C45" s="1" t="s">
        <v>256</v>
      </c>
      <c r="D45" s="1" t="s">
        <v>257</v>
      </c>
      <c r="E45" s="1" t="s">
        <v>258</v>
      </c>
      <c r="F45" s="1" t="s">
        <v>259</v>
      </c>
      <c r="G45" s="1" t="s">
        <v>186</v>
      </c>
      <c r="H45" s="1">
        <f t="shared" si="1"/>
        <v>3</v>
      </c>
      <c r="I45" s="1" t="str">
        <f t="shared" si="2"/>
        <v>months</v>
      </c>
      <c r="J45" s="1"/>
      <c r="K45" s="1">
        <f t="shared" si="3"/>
        <v>92</v>
      </c>
      <c r="L45" s="1">
        <f t="shared" si="4"/>
        <v>3</v>
      </c>
      <c r="M45" s="1"/>
      <c r="N45" s="1"/>
      <c r="O45" s="1"/>
      <c r="P45" s="1">
        <v>4.2</v>
      </c>
      <c r="Q45" s="1">
        <v>1.0</v>
      </c>
      <c r="R45" s="1">
        <v>24.0</v>
      </c>
      <c r="S45" s="1" t="s">
        <v>24</v>
      </c>
      <c r="U45" s="1" t="s">
        <v>187</v>
      </c>
    </row>
    <row r="46">
      <c r="A46" s="1" t="s">
        <v>260</v>
      </c>
      <c r="B46" s="1" t="s">
        <v>261</v>
      </c>
      <c r="C46" s="1" t="s">
        <v>262</v>
      </c>
      <c r="D46" s="1" t="s">
        <v>263</v>
      </c>
      <c r="E46" s="1" t="s">
        <v>264</v>
      </c>
      <c r="F46" s="1" t="s">
        <v>265</v>
      </c>
      <c r="G46" s="2" t="s">
        <v>186</v>
      </c>
      <c r="H46" s="1">
        <f t="shared" si="1"/>
        <v>3</v>
      </c>
      <c r="I46" s="1" t="str">
        <f t="shared" si="2"/>
        <v>months</v>
      </c>
      <c r="J46" s="1"/>
      <c r="K46" s="1">
        <f t="shared" si="3"/>
        <v>92</v>
      </c>
      <c r="L46" s="1">
        <f t="shared" si="4"/>
        <v>3</v>
      </c>
      <c r="M46" s="1"/>
      <c r="N46" s="1"/>
      <c r="O46" s="1"/>
      <c r="P46" s="1">
        <v>0.0</v>
      </c>
      <c r="Q46" s="1">
        <v>0.0</v>
      </c>
      <c r="R46" s="1">
        <v>24.0</v>
      </c>
      <c r="S46" s="1" t="s">
        <v>24</v>
      </c>
      <c r="U46" s="1" t="s">
        <v>187</v>
      </c>
    </row>
    <row r="47">
      <c r="A47" s="1" t="s">
        <v>266</v>
      </c>
      <c r="B47" s="1" t="s">
        <v>267</v>
      </c>
      <c r="C47" s="1" t="s">
        <v>268</v>
      </c>
      <c r="D47" s="1" t="s">
        <v>269</v>
      </c>
      <c r="E47" s="1" t="s">
        <v>270</v>
      </c>
      <c r="F47" s="1" t="s">
        <v>271</v>
      </c>
      <c r="G47" s="1" t="s">
        <v>186</v>
      </c>
      <c r="H47" s="1">
        <f t="shared" si="1"/>
        <v>3</v>
      </c>
      <c r="I47" s="1" t="str">
        <f t="shared" si="2"/>
        <v>months</v>
      </c>
      <c r="J47" s="1"/>
      <c r="K47" s="1">
        <f t="shared" si="3"/>
        <v>92</v>
      </c>
      <c r="L47" s="1">
        <f t="shared" si="4"/>
        <v>3</v>
      </c>
      <c r="M47" s="1"/>
      <c r="N47" s="1"/>
      <c r="O47" s="1"/>
      <c r="P47" s="1">
        <v>0.0</v>
      </c>
      <c r="Q47" s="1">
        <v>0.0</v>
      </c>
      <c r="R47" s="1">
        <v>24.0</v>
      </c>
      <c r="S47" s="1" t="s">
        <v>24</v>
      </c>
      <c r="U47" s="1" t="s">
        <v>187</v>
      </c>
    </row>
    <row r="48">
      <c r="A48" s="1" t="s">
        <v>272</v>
      </c>
      <c r="B48" s="1" t="s">
        <v>273</v>
      </c>
      <c r="C48" s="1" t="s">
        <v>274</v>
      </c>
      <c r="D48" s="1" t="s">
        <v>275</v>
      </c>
      <c r="E48" s="1" t="s">
        <v>276</v>
      </c>
      <c r="F48" s="1" t="s">
        <v>277</v>
      </c>
      <c r="G48" s="2" t="s">
        <v>186</v>
      </c>
      <c r="H48" s="1">
        <f t="shared" si="1"/>
        <v>3</v>
      </c>
      <c r="I48" s="1" t="str">
        <f t="shared" si="2"/>
        <v>months</v>
      </c>
      <c r="J48" s="1"/>
      <c r="K48" s="1">
        <f t="shared" si="3"/>
        <v>92</v>
      </c>
      <c r="L48" s="1">
        <f t="shared" si="4"/>
        <v>3</v>
      </c>
      <c r="M48" s="1"/>
      <c r="N48" s="1"/>
      <c r="O48" s="1"/>
      <c r="P48" s="1">
        <v>0.0</v>
      </c>
      <c r="Q48" s="1">
        <v>0.0</v>
      </c>
      <c r="R48" s="1">
        <v>24.0</v>
      </c>
      <c r="S48" s="1" t="s">
        <v>24</v>
      </c>
      <c r="U48" s="1" t="s">
        <v>187</v>
      </c>
    </row>
    <row r="49">
      <c r="A49" s="1" t="s">
        <v>278</v>
      </c>
      <c r="B49" s="1" t="s">
        <v>279</v>
      </c>
      <c r="C49" s="1" t="s">
        <v>280</v>
      </c>
      <c r="D49" s="1" t="s">
        <v>281</v>
      </c>
      <c r="E49" s="1" t="s">
        <v>282</v>
      </c>
      <c r="F49" s="1" t="s">
        <v>283</v>
      </c>
      <c r="G49" s="1" t="s">
        <v>186</v>
      </c>
      <c r="H49" s="1">
        <f t="shared" si="1"/>
        <v>3</v>
      </c>
      <c r="I49" s="1" t="str">
        <f t="shared" si="2"/>
        <v>months</v>
      </c>
      <c r="J49" s="1"/>
      <c r="K49" s="1">
        <f t="shared" si="3"/>
        <v>92</v>
      </c>
      <c r="L49" s="1">
        <f t="shared" si="4"/>
        <v>3</v>
      </c>
      <c r="M49" s="1"/>
      <c r="N49" s="1"/>
      <c r="O49" s="1"/>
      <c r="P49" s="1">
        <v>0.0</v>
      </c>
      <c r="Q49" s="1">
        <v>0.0</v>
      </c>
      <c r="R49" s="1">
        <v>24.0</v>
      </c>
      <c r="S49" s="1" t="s">
        <v>24</v>
      </c>
      <c r="U49" s="1" t="s">
        <v>187</v>
      </c>
    </row>
    <row r="50">
      <c r="A50" s="1" t="s">
        <v>284</v>
      </c>
      <c r="B50" s="1" t="s">
        <v>285</v>
      </c>
      <c r="C50" s="1" t="s">
        <v>286</v>
      </c>
      <c r="D50" s="1" t="s">
        <v>287</v>
      </c>
      <c r="E50" s="1" t="s">
        <v>288</v>
      </c>
      <c r="F50" s="1" t="s">
        <v>289</v>
      </c>
      <c r="G50" s="2" t="s">
        <v>186</v>
      </c>
      <c r="H50" s="1">
        <f t="shared" si="1"/>
        <v>3</v>
      </c>
      <c r="I50" s="1" t="str">
        <f t="shared" si="2"/>
        <v>months</v>
      </c>
      <c r="J50" s="1"/>
      <c r="K50" s="1">
        <f t="shared" si="3"/>
        <v>92</v>
      </c>
      <c r="L50" s="1">
        <f t="shared" si="4"/>
        <v>3</v>
      </c>
      <c r="M50" s="1"/>
      <c r="N50" s="1"/>
      <c r="O50" s="1"/>
      <c r="P50" s="1">
        <v>0.0</v>
      </c>
      <c r="Q50" s="1">
        <v>0.0</v>
      </c>
      <c r="R50" s="1">
        <v>24.0</v>
      </c>
      <c r="S50" s="1" t="s">
        <v>24</v>
      </c>
      <c r="U50" s="1" t="s">
        <v>187</v>
      </c>
    </row>
    <row r="51">
      <c r="A51" s="1" t="s">
        <v>290</v>
      </c>
      <c r="B51" s="1" t="s">
        <v>291</v>
      </c>
      <c r="C51" s="1" t="s">
        <v>292</v>
      </c>
      <c r="D51" s="1" t="s">
        <v>293</v>
      </c>
      <c r="E51" s="1" t="s">
        <v>294</v>
      </c>
      <c r="F51" s="1" t="s">
        <v>295</v>
      </c>
      <c r="G51" s="1" t="s">
        <v>186</v>
      </c>
      <c r="H51" s="1">
        <f t="shared" si="1"/>
        <v>3</v>
      </c>
      <c r="I51" s="1" t="str">
        <f t="shared" si="2"/>
        <v>months</v>
      </c>
      <c r="J51" s="1"/>
      <c r="K51" s="1">
        <f t="shared" si="3"/>
        <v>92</v>
      </c>
      <c r="L51" s="1">
        <f t="shared" si="4"/>
        <v>3</v>
      </c>
      <c r="M51" s="1"/>
      <c r="N51" s="1"/>
      <c r="O51" s="1"/>
      <c r="P51" s="1">
        <v>0.0</v>
      </c>
      <c r="Q51" s="1">
        <v>0.0</v>
      </c>
      <c r="R51" s="1">
        <v>24.0</v>
      </c>
      <c r="S51" s="1" t="s">
        <v>24</v>
      </c>
      <c r="U51" s="1" t="s">
        <v>187</v>
      </c>
    </row>
    <row r="52">
      <c r="A52" s="1" t="s">
        <v>296</v>
      </c>
      <c r="B52" s="1" t="s">
        <v>297</v>
      </c>
      <c r="C52" s="1" t="s">
        <v>298</v>
      </c>
      <c r="D52" s="1" t="s">
        <v>299</v>
      </c>
      <c r="E52" s="1" t="s">
        <v>300</v>
      </c>
      <c r="F52" s="1" t="s">
        <v>301</v>
      </c>
      <c r="G52" s="2" t="s">
        <v>186</v>
      </c>
      <c r="H52" s="1">
        <f t="shared" si="1"/>
        <v>3</v>
      </c>
      <c r="I52" s="1" t="str">
        <f t="shared" si="2"/>
        <v>months</v>
      </c>
      <c r="J52" s="1"/>
      <c r="K52" s="1">
        <f t="shared" si="3"/>
        <v>92</v>
      </c>
      <c r="L52" s="1">
        <f t="shared" si="4"/>
        <v>3</v>
      </c>
      <c r="M52" s="1"/>
      <c r="N52" s="1"/>
      <c r="O52" s="1"/>
      <c r="P52" s="1">
        <v>0.0</v>
      </c>
      <c r="Q52" s="1">
        <v>0.0</v>
      </c>
      <c r="R52" s="1">
        <v>24.0</v>
      </c>
      <c r="S52" s="1" t="s">
        <v>24</v>
      </c>
      <c r="U52" s="1" t="s">
        <v>187</v>
      </c>
    </row>
    <row r="53">
      <c r="A53" s="1" t="s">
        <v>302</v>
      </c>
      <c r="B53" s="1" t="s">
        <v>303</v>
      </c>
      <c r="C53" s="1" t="s">
        <v>304</v>
      </c>
      <c r="D53" s="1" t="s">
        <v>305</v>
      </c>
      <c r="E53" s="1" t="s">
        <v>306</v>
      </c>
      <c r="F53" s="1" t="s">
        <v>307</v>
      </c>
      <c r="G53" s="1" t="s">
        <v>186</v>
      </c>
      <c r="H53" s="1">
        <f t="shared" si="1"/>
        <v>3</v>
      </c>
      <c r="I53" s="1" t="str">
        <f t="shared" si="2"/>
        <v>months</v>
      </c>
      <c r="J53" s="1"/>
      <c r="K53" s="1">
        <f t="shared" si="3"/>
        <v>92</v>
      </c>
      <c r="L53" s="1">
        <f t="shared" si="4"/>
        <v>3</v>
      </c>
      <c r="M53" s="1"/>
      <c r="N53" s="1"/>
      <c r="O53" s="1"/>
      <c r="P53" s="1">
        <v>0.0</v>
      </c>
      <c r="Q53" s="1">
        <v>0.0</v>
      </c>
      <c r="R53" s="1">
        <v>24.0</v>
      </c>
      <c r="S53" s="1" t="s">
        <v>24</v>
      </c>
      <c r="U53" s="1" t="s">
        <v>187</v>
      </c>
    </row>
    <row r="54">
      <c r="A54" s="1" t="s">
        <v>308</v>
      </c>
      <c r="B54" s="1" t="s">
        <v>309</v>
      </c>
      <c r="C54" s="1" t="s">
        <v>310</v>
      </c>
      <c r="D54" s="1" t="s">
        <v>311</v>
      </c>
      <c r="E54" s="1" t="s">
        <v>312</v>
      </c>
      <c r="F54" s="1" t="s">
        <v>313</v>
      </c>
      <c r="G54" s="2" t="s">
        <v>186</v>
      </c>
      <c r="H54" s="1">
        <f t="shared" si="1"/>
        <v>3</v>
      </c>
      <c r="I54" s="1" t="str">
        <f t="shared" si="2"/>
        <v>months</v>
      </c>
      <c r="J54" s="1"/>
      <c r="K54" s="1">
        <f t="shared" si="3"/>
        <v>92</v>
      </c>
      <c r="L54" s="1">
        <f t="shared" si="4"/>
        <v>3</v>
      </c>
      <c r="M54" s="1"/>
      <c r="N54" s="1"/>
      <c r="O54" s="1"/>
      <c r="P54" s="1">
        <v>0.0</v>
      </c>
      <c r="Q54" s="1">
        <v>0.0</v>
      </c>
      <c r="R54" s="1">
        <v>24.0</v>
      </c>
      <c r="S54" s="1" t="s">
        <v>24</v>
      </c>
      <c r="U54" s="1" t="s">
        <v>187</v>
      </c>
    </row>
    <row r="55">
      <c r="A55" s="1" t="s">
        <v>314</v>
      </c>
      <c r="B55" s="1" t="s">
        <v>315</v>
      </c>
      <c r="C55" s="1" t="s">
        <v>316</v>
      </c>
      <c r="D55" s="1" t="s">
        <v>317</v>
      </c>
      <c r="E55" s="1" t="s">
        <v>318</v>
      </c>
      <c r="F55" s="1" t="s">
        <v>319</v>
      </c>
      <c r="G55" s="1" t="s">
        <v>186</v>
      </c>
      <c r="H55" s="1">
        <f t="shared" si="1"/>
        <v>3</v>
      </c>
      <c r="I55" s="1" t="str">
        <f t="shared" si="2"/>
        <v>months</v>
      </c>
      <c r="J55" s="1"/>
      <c r="K55" s="1">
        <f t="shared" si="3"/>
        <v>92</v>
      </c>
      <c r="L55" s="1">
        <f t="shared" si="4"/>
        <v>3</v>
      </c>
      <c r="M55" s="1"/>
      <c r="N55" s="1"/>
      <c r="O55" s="1"/>
      <c r="P55" s="1">
        <v>0.0</v>
      </c>
      <c r="Q55" s="1">
        <v>0.0</v>
      </c>
      <c r="R55" s="1">
        <v>24.0</v>
      </c>
      <c r="S55" s="1" t="s">
        <v>24</v>
      </c>
      <c r="U55" s="1" t="s">
        <v>187</v>
      </c>
    </row>
    <row r="56">
      <c r="A56" s="1" t="s">
        <v>320</v>
      </c>
      <c r="B56" s="1" t="s">
        <v>321</v>
      </c>
      <c r="C56" s="1" t="s">
        <v>322</v>
      </c>
      <c r="D56" s="1" t="s">
        <v>323</v>
      </c>
      <c r="E56" s="1" t="s">
        <v>324</v>
      </c>
      <c r="F56" s="1" t="s">
        <v>325</v>
      </c>
      <c r="G56" s="2" t="s">
        <v>186</v>
      </c>
      <c r="H56" s="1">
        <f t="shared" si="1"/>
        <v>3</v>
      </c>
      <c r="I56" s="1" t="str">
        <f t="shared" si="2"/>
        <v>months</v>
      </c>
      <c r="J56" s="1"/>
      <c r="K56" s="1">
        <f t="shared" si="3"/>
        <v>92</v>
      </c>
      <c r="L56" s="1">
        <f t="shared" si="4"/>
        <v>3</v>
      </c>
      <c r="M56" s="1"/>
      <c r="N56" s="1"/>
      <c r="O56" s="1"/>
      <c r="P56" s="1">
        <v>0.0</v>
      </c>
      <c r="Q56" s="1">
        <v>0.0</v>
      </c>
      <c r="R56" s="1">
        <v>24.0</v>
      </c>
      <c r="S56" s="1" t="s">
        <v>24</v>
      </c>
      <c r="U56" s="1" t="s">
        <v>187</v>
      </c>
    </row>
    <row r="57">
      <c r="A57" s="1" t="s">
        <v>326</v>
      </c>
      <c r="B57" s="1" t="s">
        <v>327</v>
      </c>
      <c r="C57" s="1" t="s">
        <v>328</v>
      </c>
      <c r="D57" s="1" t="s">
        <v>329</v>
      </c>
      <c r="E57" s="1" t="s">
        <v>330</v>
      </c>
      <c r="F57" s="1" t="s">
        <v>331</v>
      </c>
      <c r="G57" s="1" t="s">
        <v>186</v>
      </c>
      <c r="H57" s="1">
        <f t="shared" si="1"/>
        <v>3</v>
      </c>
      <c r="I57" s="1" t="str">
        <f t="shared" si="2"/>
        <v>months</v>
      </c>
      <c r="J57" s="1"/>
      <c r="K57" s="1">
        <f t="shared" si="3"/>
        <v>92</v>
      </c>
      <c r="L57" s="1">
        <f t="shared" si="4"/>
        <v>3</v>
      </c>
      <c r="M57" s="1"/>
      <c r="N57" s="1"/>
      <c r="O57" s="1"/>
      <c r="P57" s="1">
        <v>0.0</v>
      </c>
      <c r="Q57" s="1">
        <v>0.0</v>
      </c>
      <c r="R57" s="1">
        <v>24.0</v>
      </c>
      <c r="S57" s="1" t="s">
        <v>24</v>
      </c>
      <c r="U57" s="1" t="s">
        <v>187</v>
      </c>
    </row>
    <row r="58">
      <c r="A58" s="1" t="s">
        <v>332</v>
      </c>
      <c r="B58" s="1" t="s">
        <v>333</v>
      </c>
      <c r="C58" s="1" t="s">
        <v>334</v>
      </c>
      <c r="D58" s="1" t="s">
        <v>335</v>
      </c>
      <c r="E58" s="1" t="s">
        <v>336</v>
      </c>
      <c r="F58" s="1" t="s">
        <v>337</v>
      </c>
      <c r="G58" s="2" t="s">
        <v>186</v>
      </c>
      <c r="H58" s="1">
        <f t="shared" si="1"/>
        <v>3</v>
      </c>
      <c r="I58" s="1" t="str">
        <f t="shared" si="2"/>
        <v>months</v>
      </c>
      <c r="J58" s="1"/>
      <c r="K58" s="1">
        <f t="shared" si="3"/>
        <v>92</v>
      </c>
      <c r="L58" s="1">
        <f t="shared" si="4"/>
        <v>3</v>
      </c>
      <c r="M58" s="1"/>
      <c r="N58" s="1"/>
      <c r="O58" s="1"/>
      <c r="P58" s="1">
        <v>16.7</v>
      </c>
      <c r="Q58" s="1">
        <v>4.0</v>
      </c>
      <c r="R58" s="1">
        <v>24.0</v>
      </c>
      <c r="S58" s="1" t="s">
        <v>24</v>
      </c>
      <c r="U58" s="1" t="s">
        <v>187</v>
      </c>
    </row>
    <row r="59">
      <c r="A59" s="1" t="s">
        <v>338</v>
      </c>
      <c r="B59" s="1" t="s">
        <v>339</v>
      </c>
      <c r="C59" s="1" t="s">
        <v>340</v>
      </c>
      <c r="D59" s="1" t="s">
        <v>341</v>
      </c>
      <c r="E59" s="1" t="s">
        <v>342</v>
      </c>
      <c r="F59" s="1" t="s">
        <v>343</v>
      </c>
      <c r="G59" s="1" t="s">
        <v>186</v>
      </c>
      <c r="H59" s="1">
        <f t="shared" si="1"/>
        <v>3</v>
      </c>
      <c r="I59" s="1" t="str">
        <f t="shared" si="2"/>
        <v>months</v>
      </c>
      <c r="J59" s="1"/>
      <c r="K59" s="1">
        <f t="shared" si="3"/>
        <v>92</v>
      </c>
      <c r="L59" s="1">
        <f t="shared" si="4"/>
        <v>3</v>
      </c>
      <c r="M59" s="1"/>
      <c r="N59" s="1"/>
      <c r="O59" s="1"/>
      <c r="P59" s="1">
        <v>0.0</v>
      </c>
      <c r="Q59" s="1">
        <v>0.0</v>
      </c>
      <c r="R59" s="1">
        <v>24.0</v>
      </c>
      <c r="S59" s="1" t="s">
        <v>24</v>
      </c>
      <c r="U59" s="1" t="s">
        <v>187</v>
      </c>
    </row>
    <row r="60">
      <c r="A60" s="1" t="s">
        <v>344</v>
      </c>
      <c r="B60" s="1" t="s">
        <v>345</v>
      </c>
      <c r="C60" s="1" t="s">
        <v>346</v>
      </c>
      <c r="D60" s="1" t="s">
        <v>347</v>
      </c>
      <c r="E60" s="1" t="s">
        <v>348</v>
      </c>
      <c r="F60" s="1" t="s">
        <v>349</v>
      </c>
      <c r="G60" s="2" t="s">
        <v>186</v>
      </c>
      <c r="H60" s="1">
        <f t="shared" si="1"/>
        <v>3</v>
      </c>
      <c r="I60" s="1" t="str">
        <f t="shared" si="2"/>
        <v>months</v>
      </c>
      <c r="J60" s="1"/>
      <c r="K60" s="1">
        <f t="shared" si="3"/>
        <v>92</v>
      </c>
      <c r="L60" s="1">
        <f t="shared" si="4"/>
        <v>3</v>
      </c>
      <c r="M60" s="1"/>
      <c r="N60" s="1"/>
      <c r="O60" s="1"/>
      <c r="P60" s="1">
        <v>0.0</v>
      </c>
      <c r="Q60" s="1">
        <v>0.0</v>
      </c>
      <c r="R60" s="1">
        <v>24.0</v>
      </c>
      <c r="S60" s="1" t="s">
        <v>24</v>
      </c>
      <c r="U60" s="1" t="s">
        <v>187</v>
      </c>
    </row>
    <row r="61">
      <c r="A61" s="1" t="s">
        <v>350</v>
      </c>
      <c r="B61" s="1" t="s">
        <v>351</v>
      </c>
      <c r="C61" s="1" t="s">
        <v>352</v>
      </c>
      <c r="D61" s="1" t="s">
        <v>353</v>
      </c>
      <c r="E61" s="1" t="s">
        <v>354</v>
      </c>
      <c r="F61" s="1" t="s">
        <v>355</v>
      </c>
      <c r="G61" s="1" t="s">
        <v>186</v>
      </c>
      <c r="H61" s="1">
        <f t="shared" si="1"/>
        <v>3</v>
      </c>
      <c r="I61" s="1" t="str">
        <f t="shared" si="2"/>
        <v>months</v>
      </c>
      <c r="J61" s="1"/>
      <c r="K61" s="1">
        <f t="shared" si="3"/>
        <v>92</v>
      </c>
      <c r="L61" s="1">
        <f t="shared" si="4"/>
        <v>3</v>
      </c>
      <c r="M61" s="1"/>
      <c r="N61" s="1"/>
      <c r="O61" s="1"/>
      <c r="P61" s="1">
        <v>0.0</v>
      </c>
      <c r="Q61" s="1">
        <v>0.0</v>
      </c>
      <c r="R61" s="1">
        <v>24.0</v>
      </c>
      <c r="S61" s="1" t="s">
        <v>24</v>
      </c>
      <c r="U61" s="1" t="s">
        <v>187</v>
      </c>
    </row>
    <row r="62">
      <c r="A62" s="1" t="s">
        <v>356</v>
      </c>
      <c r="B62" s="1" t="s">
        <v>357</v>
      </c>
      <c r="C62" s="1" t="s">
        <v>358</v>
      </c>
      <c r="D62" s="1" t="s">
        <v>359</v>
      </c>
      <c r="E62" s="1" t="s">
        <v>360</v>
      </c>
      <c r="F62" s="1" t="s">
        <v>361</v>
      </c>
      <c r="G62" s="2" t="s">
        <v>186</v>
      </c>
      <c r="H62" s="1">
        <f t="shared" si="1"/>
        <v>3</v>
      </c>
      <c r="I62" s="1" t="str">
        <f t="shared" si="2"/>
        <v>months</v>
      </c>
      <c r="J62" s="1"/>
      <c r="K62" s="1">
        <f t="shared" si="3"/>
        <v>92</v>
      </c>
      <c r="L62" s="1">
        <f t="shared" si="4"/>
        <v>3</v>
      </c>
      <c r="M62" s="1"/>
      <c r="N62" s="1"/>
      <c r="O62" s="1"/>
      <c r="P62" s="1">
        <v>0.0</v>
      </c>
      <c r="Q62" s="1">
        <v>0.0</v>
      </c>
      <c r="R62" s="1">
        <v>24.0</v>
      </c>
      <c r="S62" s="1" t="s">
        <v>24</v>
      </c>
      <c r="U62" s="1" t="s">
        <v>187</v>
      </c>
    </row>
    <row r="63">
      <c r="A63" s="1" t="s">
        <v>362</v>
      </c>
      <c r="B63" s="1" t="s">
        <v>363</v>
      </c>
      <c r="C63" s="1" t="s">
        <v>364</v>
      </c>
      <c r="D63" s="1" t="s">
        <v>365</v>
      </c>
      <c r="E63" s="1" t="s">
        <v>366</v>
      </c>
      <c r="F63" s="1" t="s">
        <v>367</v>
      </c>
      <c r="G63" s="1" t="s">
        <v>186</v>
      </c>
      <c r="H63" s="1">
        <f t="shared" si="1"/>
        <v>3</v>
      </c>
      <c r="I63" s="1" t="str">
        <f t="shared" si="2"/>
        <v>months</v>
      </c>
      <c r="J63" s="1"/>
      <c r="K63" s="1">
        <f t="shared" si="3"/>
        <v>92</v>
      </c>
      <c r="L63" s="1">
        <f t="shared" si="4"/>
        <v>3</v>
      </c>
      <c r="M63" s="1"/>
      <c r="N63" s="1"/>
      <c r="O63" s="1"/>
      <c r="P63" s="1">
        <v>0.0</v>
      </c>
      <c r="Q63" s="1">
        <v>0.0</v>
      </c>
      <c r="R63" s="1">
        <v>24.0</v>
      </c>
      <c r="S63" s="1" t="s">
        <v>24</v>
      </c>
      <c r="U63" s="1" t="s">
        <v>187</v>
      </c>
    </row>
    <row r="64">
      <c r="A64" s="1" t="s">
        <v>368</v>
      </c>
      <c r="B64" s="1" t="s">
        <v>369</v>
      </c>
      <c r="C64" s="1" t="s">
        <v>370</v>
      </c>
      <c r="D64" s="1" t="s">
        <v>371</v>
      </c>
      <c r="E64" s="1" t="s">
        <v>372</v>
      </c>
      <c r="F64" s="1" t="s">
        <v>373</v>
      </c>
      <c r="G64" s="2" t="s">
        <v>186</v>
      </c>
      <c r="H64" s="1">
        <f t="shared" si="1"/>
        <v>3</v>
      </c>
      <c r="I64" s="1" t="str">
        <f t="shared" si="2"/>
        <v>months</v>
      </c>
      <c r="J64" s="1"/>
      <c r="K64" s="1">
        <f t="shared" si="3"/>
        <v>92</v>
      </c>
      <c r="L64" s="1">
        <f t="shared" si="4"/>
        <v>3</v>
      </c>
      <c r="M64" s="1"/>
      <c r="N64" s="1"/>
      <c r="O64" s="1"/>
      <c r="P64" s="1">
        <v>0.0</v>
      </c>
      <c r="Q64" s="1">
        <v>0.0</v>
      </c>
      <c r="R64" s="1">
        <v>24.0</v>
      </c>
      <c r="S64" s="1" t="s">
        <v>24</v>
      </c>
      <c r="U64" s="1" t="s">
        <v>187</v>
      </c>
    </row>
    <row r="65">
      <c r="A65" s="1" t="s">
        <v>374</v>
      </c>
      <c r="B65" s="1" t="s">
        <v>375</v>
      </c>
      <c r="C65" s="1" t="s">
        <v>376</v>
      </c>
      <c r="D65" s="1" t="s">
        <v>377</v>
      </c>
      <c r="E65" s="1" t="s">
        <v>378</v>
      </c>
      <c r="F65" s="1" t="s">
        <v>379</v>
      </c>
      <c r="G65" s="1" t="s">
        <v>186</v>
      </c>
      <c r="H65" s="1">
        <f t="shared" si="1"/>
        <v>3</v>
      </c>
      <c r="I65" s="1" t="str">
        <f t="shared" si="2"/>
        <v>months</v>
      </c>
      <c r="J65" s="1"/>
      <c r="K65" s="1">
        <f t="shared" si="3"/>
        <v>92</v>
      </c>
      <c r="L65" s="1">
        <f t="shared" si="4"/>
        <v>3</v>
      </c>
      <c r="M65" s="1"/>
      <c r="N65" s="1"/>
      <c r="O65" s="1"/>
      <c r="P65" s="1">
        <v>0.0</v>
      </c>
      <c r="Q65" s="1">
        <v>0.0</v>
      </c>
      <c r="R65" s="1">
        <v>24.0</v>
      </c>
      <c r="S65" s="1" t="s">
        <v>24</v>
      </c>
      <c r="U65" s="1" t="s">
        <v>187</v>
      </c>
    </row>
    <row r="66">
      <c r="A66" s="1" t="s">
        <v>380</v>
      </c>
      <c r="B66" s="1" t="s">
        <v>381</v>
      </c>
      <c r="C66" s="1" t="s">
        <v>382</v>
      </c>
      <c r="D66" s="1" t="s">
        <v>383</v>
      </c>
      <c r="E66" s="1" t="s">
        <v>384</v>
      </c>
      <c r="F66" s="1" t="s">
        <v>385</v>
      </c>
      <c r="G66" s="2" t="s">
        <v>186</v>
      </c>
      <c r="H66" s="1">
        <f t="shared" si="1"/>
        <v>3</v>
      </c>
      <c r="I66" s="1" t="str">
        <f t="shared" si="2"/>
        <v>months</v>
      </c>
      <c r="J66" s="1"/>
      <c r="K66" s="1">
        <f t="shared" si="3"/>
        <v>92</v>
      </c>
      <c r="L66" s="1">
        <f t="shared" si="4"/>
        <v>3</v>
      </c>
      <c r="M66" s="1"/>
      <c r="N66" s="1"/>
      <c r="O66" s="1"/>
      <c r="P66" s="1">
        <v>0.0</v>
      </c>
      <c r="Q66" s="1">
        <v>0.0</v>
      </c>
      <c r="R66" s="1">
        <v>24.0</v>
      </c>
      <c r="S66" s="1" t="s">
        <v>24</v>
      </c>
      <c r="U66" s="1" t="s">
        <v>187</v>
      </c>
    </row>
    <row r="67">
      <c r="A67" s="1" t="s">
        <v>386</v>
      </c>
      <c r="B67" s="1" t="s">
        <v>387</v>
      </c>
      <c r="C67" s="1" t="s">
        <v>388</v>
      </c>
      <c r="D67" s="1" t="s">
        <v>389</v>
      </c>
      <c r="E67" s="1" t="s">
        <v>390</v>
      </c>
      <c r="F67" s="1" t="s">
        <v>391</v>
      </c>
      <c r="G67" s="1" t="s">
        <v>186</v>
      </c>
      <c r="H67" s="1">
        <f t="shared" si="1"/>
        <v>3</v>
      </c>
      <c r="I67" s="1" t="str">
        <f t="shared" si="2"/>
        <v>months</v>
      </c>
      <c r="J67" s="1"/>
      <c r="K67" s="1">
        <f t="shared" si="3"/>
        <v>92</v>
      </c>
      <c r="L67" s="1">
        <f t="shared" si="4"/>
        <v>3</v>
      </c>
      <c r="M67" s="1"/>
      <c r="N67" s="1"/>
      <c r="O67" s="1"/>
      <c r="P67" s="1">
        <v>0.0</v>
      </c>
      <c r="Q67" s="1">
        <v>0.0</v>
      </c>
      <c r="R67" s="1">
        <v>24.0</v>
      </c>
      <c r="S67" s="1" t="s">
        <v>24</v>
      </c>
      <c r="U67" s="1" t="s">
        <v>187</v>
      </c>
    </row>
  </sheetData>
  <drawing r:id="rId1"/>
</worksheet>
</file>