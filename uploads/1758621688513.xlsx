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nexprism\"/>
    </mc:Choice>
  </mc:AlternateContent>
  <xr:revisionPtr revIDLastSave="0" documentId="8_{8083700C-2D3F-40B9-BA48-AE4D4B4BA90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active member list" sheetId="1" r:id="rId1"/>
    <sheet name="Active Member List Report" sheetId="2" r:id="rId2"/>
  </sheets>
  <calcPr calcId="191029"/>
  <fileRecoveryPr repairLoad="1"/>
</workbook>
</file>

<file path=xl/calcChain.xml><?xml version="1.0" encoding="utf-8"?>
<calcChain xmlns="http://schemas.openxmlformats.org/spreadsheetml/2006/main">
  <c r="L124" i="2" l="1"/>
  <c r="K124" i="2"/>
  <c r="L123" i="2"/>
  <c r="K123" i="2"/>
  <c r="L122" i="2"/>
  <c r="K122" i="2"/>
  <c r="L121" i="2"/>
  <c r="K121" i="2"/>
  <c r="L120" i="2"/>
  <c r="K120" i="2"/>
  <c r="I120" i="2"/>
  <c r="H120" i="2"/>
  <c r="G120" i="2"/>
  <c r="L119" i="2"/>
  <c r="K119" i="2"/>
  <c r="I119" i="2"/>
  <c r="H119" i="2"/>
  <c r="G119" i="2"/>
  <c r="L118" i="2"/>
  <c r="K118" i="2"/>
  <c r="I118" i="2"/>
  <c r="H118" i="2"/>
  <c r="G118" i="2"/>
  <c r="L117" i="2"/>
  <c r="K117" i="2"/>
  <c r="I117" i="2"/>
  <c r="H117" i="2"/>
  <c r="G117" i="2"/>
  <c r="L116" i="2"/>
  <c r="K116" i="2"/>
  <c r="I116" i="2"/>
  <c r="H116" i="2"/>
  <c r="G116" i="2"/>
  <c r="L115" i="2"/>
  <c r="K115" i="2"/>
  <c r="I115" i="2"/>
  <c r="H115" i="2"/>
  <c r="G115" i="2"/>
  <c r="L114" i="2"/>
  <c r="K114" i="2"/>
  <c r="I114" i="2"/>
  <c r="H114" i="2"/>
  <c r="G114" i="2"/>
  <c r="L113" i="2"/>
  <c r="K113" i="2"/>
  <c r="I113" i="2"/>
  <c r="H113" i="2"/>
  <c r="G113" i="2"/>
  <c r="L112" i="2"/>
  <c r="K112" i="2"/>
  <c r="I112" i="2"/>
  <c r="H112" i="2"/>
  <c r="G112" i="2"/>
  <c r="L111" i="2"/>
  <c r="K111" i="2"/>
  <c r="I111" i="2"/>
  <c r="H111" i="2"/>
  <c r="G111" i="2"/>
  <c r="L110" i="2"/>
  <c r="K110" i="2"/>
  <c r="I110" i="2"/>
  <c r="H110" i="2"/>
  <c r="G110" i="2"/>
  <c r="L109" i="2"/>
  <c r="K109" i="2"/>
  <c r="I109" i="2"/>
  <c r="H109" i="2"/>
  <c r="G109" i="2"/>
  <c r="L108" i="2"/>
  <c r="K108" i="2"/>
  <c r="I108" i="2"/>
  <c r="H108" i="2"/>
  <c r="G108" i="2"/>
  <c r="L107" i="2"/>
  <c r="K107" i="2"/>
  <c r="I107" i="2"/>
  <c r="H107" i="2"/>
  <c r="G107" i="2"/>
  <c r="L106" i="2"/>
  <c r="K106" i="2"/>
  <c r="I106" i="2"/>
  <c r="H106" i="2"/>
  <c r="G106" i="2"/>
  <c r="L105" i="2"/>
  <c r="K105" i="2"/>
  <c r="I105" i="2"/>
  <c r="H105" i="2"/>
  <c r="G105" i="2"/>
  <c r="L104" i="2"/>
  <c r="K104" i="2"/>
  <c r="I104" i="2"/>
  <c r="H104" i="2"/>
  <c r="G104" i="2"/>
  <c r="L103" i="2"/>
  <c r="K103" i="2"/>
  <c r="I103" i="2"/>
  <c r="H103" i="2"/>
  <c r="G103" i="2"/>
  <c r="L102" i="2"/>
  <c r="K102" i="2"/>
  <c r="I102" i="2"/>
  <c r="H102" i="2"/>
  <c r="G102" i="2"/>
  <c r="L101" i="2"/>
  <c r="K101" i="2"/>
  <c r="I101" i="2"/>
  <c r="H101" i="2"/>
  <c r="G101" i="2"/>
  <c r="L100" i="2"/>
  <c r="K100" i="2"/>
  <c r="I100" i="2"/>
  <c r="H100" i="2"/>
  <c r="G100" i="2"/>
  <c r="L99" i="2"/>
  <c r="K99" i="2"/>
  <c r="I99" i="2"/>
  <c r="H99" i="2"/>
  <c r="G99" i="2"/>
  <c r="L98" i="2"/>
  <c r="K98" i="2"/>
  <c r="I98" i="2"/>
  <c r="H98" i="2"/>
  <c r="G98" i="2"/>
  <c r="L97" i="2"/>
  <c r="K97" i="2"/>
  <c r="I97" i="2"/>
  <c r="H97" i="2"/>
  <c r="G97" i="2"/>
  <c r="L96" i="2"/>
  <c r="K96" i="2"/>
  <c r="I96" i="2"/>
  <c r="H96" i="2"/>
  <c r="G96" i="2"/>
  <c r="L95" i="2"/>
  <c r="K95" i="2"/>
  <c r="I95" i="2"/>
  <c r="H95" i="2"/>
  <c r="G95" i="2"/>
  <c r="L94" i="2"/>
  <c r="K94" i="2"/>
  <c r="I94" i="2"/>
  <c r="H94" i="2"/>
  <c r="G94" i="2"/>
  <c r="L93" i="2"/>
  <c r="K93" i="2"/>
  <c r="I93" i="2"/>
  <c r="H93" i="2"/>
  <c r="G93" i="2"/>
  <c r="L92" i="2"/>
  <c r="K92" i="2"/>
  <c r="I92" i="2"/>
  <c r="H92" i="2"/>
  <c r="G92" i="2"/>
  <c r="L91" i="2"/>
  <c r="K91" i="2"/>
  <c r="I91" i="2"/>
  <c r="H91" i="2"/>
  <c r="G91" i="2"/>
  <c r="L90" i="2"/>
  <c r="K90" i="2"/>
  <c r="I90" i="2"/>
  <c r="H90" i="2"/>
  <c r="G90" i="2"/>
  <c r="L89" i="2"/>
  <c r="K89" i="2"/>
  <c r="I89" i="2"/>
  <c r="H89" i="2"/>
  <c r="G89" i="2"/>
  <c r="L88" i="2"/>
  <c r="K88" i="2"/>
  <c r="I88" i="2"/>
  <c r="H88" i="2"/>
  <c r="G88" i="2"/>
  <c r="L87" i="2"/>
  <c r="K87" i="2"/>
  <c r="I87" i="2"/>
  <c r="H87" i="2"/>
  <c r="G87" i="2"/>
  <c r="L86" i="2"/>
  <c r="K86" i="2"/>
  <c r="I86" i="2"/>
  <c r="H86" i="2"/>
  <c r="G86" i="2"/>
  <c r="L85" i="2"/>
  <c r="K85" i="2"/>
  <c r="I85" i="2"/>
  <c r="H85" i="2"/>
  <c r="G85" i="2"/>
  <c r="L84" i="2"/>
  <c r="K84" i="2"/>
  <c r="I84" i="2"/>
  <c r="H84" i="2"/>
  <c r="G84" i="2"/>
  <c r="L83" i="2"/>
  <c r="K83" i="2"/>
  <c r="I83" i="2"/>
  <c r="H83" i="2"/>
  <c r="G83" i="2"/>
  <c r="L82" i="2"/>
  <c r="K82" i="2"/>
  <c r="I82" i="2"/>
  <c r="H82" i="2"/>
  <c r="G82" i="2"/>
  <c r="L81" i="2"/>
  <c r="K81" i="2"/>
  <c r="I81" i="2"/>
  <c r="H81" i="2"/>
  <c r="G81" i="2"/>
  <c r="L80" i="2"/>
  <c r="K80" i="2"/>
  <c r="I80" i="2"/>
  <c r="H80" i="2"/>
  <c r="G80" i="2"/>
  <c r="L79" i="2"/>
  <c r="K79" i="2"/>
  <c r="I79" i="2"/>
  <c r="H79" i="2"/>
  <c r="G79" i="2"/>
  <c r="L78" i="2"/>
  <c r="K78" i="2"/>
  <c r="I78" i="2"/>
  <c r="H78" i="2"/>
  <c r="G78" i="2"/>
  <c r="L77" i="2"/>
  <c r="K77" i="2"/>
  <c r="I77" i="2"/>
  <c r="H77" i="2"/>
  <c r="G77" i="2"/>
  <c r="L76" i="2"/>
  <c r="K76" i="2"/>
  <c r="I76" i="2"/>
  <c r="H76" i="2"/>
  <c r="G76" i="2"/>
  <c r="L75" i="2"/>
  <c r="K75" i="2"/>
  <c r="I75" i="2"/>
  <c r="H75" i="2"/>
  <c r="G75" i="2"/>
  <c r="L74" i="2"/>
  <c r="K74" i="2"/>
  <c r="I74" i="2"/>
  <c r="H74" i="2"/>
  <c r="G74" i="2"/>
  <c r="L73" i="2"/>
  <c r="K73" i="2"/>
  <c r="I73" i="2"/>
  <c r="H73" i="2"/>
  <c r="G73" i="2"/>
  <c r="L72" i="2"/>
  <c r="K72" i="2"/>
  <c r="I72" i="2"/>
  <c r="H72" i="2"/>
  <c r="G72" i="2"/>
  <c r="L71" i="2"/>
  <c r="K71" i="2"/>
  <c r="I71" i="2"/>
  <c r="H71" i="2"/>
  <c r="G71" i="2"/>
  <c r="L70" i="2"/>
  <c r="K70" i="2"/>
  <c r="I70" i="2"/>
  <c r="H70" i="2"/>
  <c r="G70" i="2"/>
  <c r="L69" i="2"/>
  <c r="K69" i="2"/>
  <c r="I69" i="2"/>
  <c r="H69" i="2"/>
  <c r="G69" i="2"/>
  <c r="L68" i="2"/>
  <c r="K68" i="2"/>
  <c r="I68" i="2"/>
  <c r="H68" i="2"/>
  <c r="G68" i="2"/>
  <c r="L67" i="2"/>
  <c r="K67" i="2"/>
  <c r="I67" i="2"/>
  <c r="H67" i="2"/>
  <c r="G67" i="2"/>
  <c r="L66" i="2"/>
  <c r="K66" i="2"/>
  <c r="I66" i="2"/>
  <c r="H66" i="2"/>
  <c r="G66" i="2"/>
  <c r="L65" i="2"/>
  <c r="K65" i="2"/>
  <c r="I65" i="2"/>
  <c r="H65" i="2"/>
  <c r="G65" i="2"/>
  <c r="L64" i="2"/>
  <c r="K64" i="2"/>
  <c r="I64" i="2"/>
  <c r="H64" i="2"/>
  <c r="G64" i="2"/>
  <c r="L63" i="2"/>
  <c r="K63" i="2"/>
  <c r="I63" i="2"/>
  <c r="H63" i="2"/>
  <c r="G63" i="2"/>
  <c r="L62" i="2"/>
  <c r="K62" i="2"/>
  <c r="I62" i="2"/>
  <c r="H62" i="2"/>
  <c r="G62" i="2"/>
  <c r="L61" i="2"/>
  <c r="K61" i="2"/>
  <c r="I61" i="2"/>
  <c r="H61" i="2"/>
  <c r="G61" i="2"/>
  <c r="L60" i="2"/>
  <c r="K60" i="2"/>
  <c r="I60" i="2"/>
  <c r="H60" i="2"/>
  <c r="G60" i="2"/>
  <c r="L59" i="2"/>
  <c r="K59" i="2"/>
  <c r="I59" i="2"/>
  <c r="H59" i="2"/>
  <c r="G59" i="2"/>
  <c r="L58" i="2"/>
  <c r="K58" i="2"/>
  <c r="I58" i="2"/>
  <c r="H58" i="2"/>
  <c r="G58" i="2"/>
  <c r="L57" i="2"/>
  <c r="K57" i="2"/>
  <c r="I57" i="2"/>
  <c r="H57" i="2"/>
  <c r="G57" i="2"/>
  <c r="L56" i="2"/>
  <c r="K56" i="2"/>
  <c r="I56" i="2"/>
  <c r="H56" i="2"/>
  <c r="G56" i="2"/>
  <c r="L55" i="2"/>
  <c r="K55" i="2"/>
  <c r="I55" i="2"/>
  <c r="H55" i="2"/>
  <c r="G55" i="2"/>
  <c r="L54" i="2"/>
  <c r="K54" i="2"/>
  <c r="I54" i="2"/>
  <c r="H54" i="2"/>
  <c r="G54" i="2"/>
  <c r="L53" i="2"/>
  <c r="K53" i="2"/>
  <c r="I53" i="2"/>
  <c r="H53" i="2"/>
  <c r="G53" i="2"/>
  <c r="L52" i="2"/>
  <c r="K52" i="2"/>
  <c r="I52" i="2"/>
  <c r="H52" i="2"/>
  <c r="G52" i="2"/>
  <c r="L51" i="2"/>
  <c r="K51" i="2"/>
  <c r="I51" i="2"/>
  <c r="H51" i="2"/>
  <c r="G51" i="2"/>
  <c r="L50" i="2"/>
  <c r="K50" i="2"/>
  <c r="I50" i="2"/>
  <c r="H50" i="2"/>
  <c r="G50" i="2"/>
  <c r="L49" i="2"/>
  <c r="K49" i="2"/>
  <c r="I49" i="2"/>
  <c r="H49" i="2"/>
  <c r="G49" i="2"/>
  <c r="L48" i="2"/>
  <c r="K48" i="2"/>
  <c r="I48" i="2"/>
  <c r="H48" i="2"/>
  <c r="G48" i="2"/>
  <c r="L47" i="2"/>
  <c r="K47" i="2"/>
  <c r="I47" i="2"/>
  <c r="H47" i="2"/>
  <c r="G47" i="2"/>
  <c r="L46" i="2"/>
  <c r="K46" i="2"/>
  <c r="I46" i="2"/>
  <c r="H46" i="2"/>
  <c r="G46" i="2"/>
  <c r="L45" i="2"/>
  <c r="K45" i="2"/>
  <c r="I45" i="2"/>
  <c r="H45" i="2"/>
  <c r="G45" i="2"/>
  <c r="L44" i="2"/>
  <c r="K44" i="2"/>
  <c r="I44" i="2"/>
  <c r="H44" i="2"/>
  <c r="G44" i="2"/>
  <c r="L43" i="2"/>
  <c r="K43" i="2"/>
  <c r="I43" i="2"/>
  <c r="H43" i="2"/>
  <c r="G43" i="2"/>
  <c r="L42" i="2"/>
  <c r="K42" i="2"/>
  <c r="I42" i="2"/>
  <c r="H42" i="2"/>
  <c r="G42" i="2"/>
  <c r="L41" i="2"/>
  <c r="K41" i="2"/>
  <c r="I41" i="2"/>
  <c r="H41" i="2"/>
  <c r="G41" i="2"/>
  <c r="L40" i="2"/>
  <c r="K40" i="2"/>
  <c r="I40" i="2"/>
  <c r="H40" i="2"/>
  <c r="G40" i="2"/>
  <c r="L39" i="2"/>
  <c r="K39" i="2"/>
  <c r="I39" i="2"/>
  <c r="H39" i="2"/>
  <c r="G39" i="2"/>
  <c r="L38" i="2"/>
  <c r="K38" i="2"/>
  <c r="I38" i="2"/>
  <c r="H38" i="2"/>
  <c r="G38" i="2"/>
  <c r="L37" i="2"/>
  <c r="K37" i="2"/>
  <c r="I37" i="2"/>
  <c r="H37" i="2"/>
  <c r="G37" i="2"/>
  <c r="L36" i="2"/>
  <c r="K36" i="2"/>
  <c r="I36" i="2"/>
  <c r="H36" i="2"/>
  <c r="G36" i="2"/>
  <c r="L35" i="2"/>
  <c r="K35" i="2"/>
  <c r="I35" i="2"/>
  <c r="H35" i="2"/>
  <c r="G35" i="2"/>
  <c r="L34" i="2"/>
  <c r="K34" i="2"/>
  <c r="I34" i="2"/>
  <c r="H34" i="2"/>
  <c r="G34" i="2"/>
  <c r="L33" i="2"/>
  <c r="K33" i="2"/>
  <c r="I33" i="2"/>
  <c r="H33" i="2"/>
  <c r="G33" i="2"/>
  <c r="L32" i="2"/>
  <c r="K32" i="2"/>
  <c r="I32" i="2"/>
  <c r="H32" i="2"/>
  <c r="G32" i="2"/>
  <c r="L31" i="2"/>
  <c r="K31" i="2"/>
  <c r="I31" i="2"/>
  <c r="H31" i="2"/>
  <c r="G31" i="2"/>
  <c r="L30" i="2"/>
  <c r="K30" i="2"/>
  <c r="I30" i="2"/>
  <c r="H30" i="2"/>
  <c r="G30" i="2"/>
  <c r="L29" i="2"/>
  <c r="K29" i="2"/>
  <c r="I29" i="2"/>
  <c r="H29" i="2"/>
  <c r="G29" i="2"/>
  <c r="L28" i="2"/>
  <c r="K28" i="2"/>
  <c r="I28" i="2"/>
  <c r="H28" i="2"/>
  <c r="G28" i="2"/>
  <c r="L27" i="2"/>
  <c r="K27" i="2"/>
  <c r="I27" i="2"/>
  <c r="H27" i="2"/>
  <c r="G27" i="2"/>
  <c r="L26" i="2"/>
  <c r="K26" i="2"/>
  <c r="I26" i="2"/>
  <c r="H26" i="2"/>
  <c r="G26" i="2"/>
  <c r="L25" i="2"/>
  <c r="K25" i="2"/>
  <c r="I25" i="2"/>
  <c r="H25" i="2"/>
  <c r="G25" i="2"/>
  <c r="L24" i="2"/>
  <c r="K24" i="2"/>
  <c r="I24" i="2"/>
  <c r="H24" i="2"/>
  <c r="G24" i="2"/>
  <c r="L23" i="2"/>
  <c r="K23" i="2"/>
  <c r="I23" i="2"/>
  <c r="H23" i="2"/>
  <c r="G23" i="2"/>
  <c r="L22" i="2"/>
  <c r="K22" i="2"/>
  <c r="I22" i="2"/>
  <c r="H22" i="2"/>
  <c r="G22" i="2"/>
  <c r="L21" i="2"/>
  <c r="K21" i="2"/>
  <c r="I21" i="2"/>
  <c r="H21" i="2"/>
  <c r="G21" i="2"/>
  <c r="L20" i="2"/>
  <c r="K20" i="2"/>
  <c r="I20" i="2"/>
  <c r="H20" i="2"/>
  <c r="G20" i="2"/>
  <c r="L19" i="2"/>
  <c r="K19" i="2"/>
  <c r="I19" i="2"/>
  <c r="H19" i="2"/>
  <c r="G19" i="2"/>
  <c r="L18" i="2"/>
  <c r="K18" i="2"/>
  <c r="I18" i="2"/>
  <c r="H18" i="2"/>
  <c r="G18" i="2"/>
  <c r="L17" i="2"/>
  <c r="K17" i="2"/>
  <c r="I17" i="2"/>
  <c r="H17" i="2"/>
  <c r="G17" i="2"/>
  <c r="L16" i="2"/>
  <c r="K16" i="2"/>
  <c r="I16" i="2"/>
  <c r="H16" i="2"/>
  <c r="G16" i="2"/>
  <c r="L15" i="2"/>
  <c r="K15" i="2"/>
  <c r="I15" i="2"/>
  <c r="H15" i="2"/>
  <c r="G15" i="2"/>
  <c r="L14" i="2"/>
  <c r="L13" i="2"/>
  <c r="K13" i="2"/>
  <c r="I13" i="2"/>
  <c r="H13" i="2"/>
  <c r="G13" i="2"/>
  <c r="L12" i="2"/>
  <c r="K12" i="2"/>
  <c r="I12" i="2"/>
  <c r="H12" i="2"/>
  <c r="G12" i="2"/>
  <c r="L11" i="2"/>
  <c r="K11" i="2"/>
  <c r="I11" i="2"/>
  <c r="H11" i="2"/>
  <c r="G11" i="2"/>
  <c r="L10" i="2"/>
  <c r="K10" i="2"/>
  <c r="I10" i="2"/>
  <c r="H10" i="2"/>
  <c r="G10" i="2"/>
  <c r="L9" i="2"/>
  <c r="K9" i="2"/>
  <c r="I9" i="2"/>
  <c r="H9" i="2"/>
  <c r="G9" i="2"/>
  <c r="L8" i="2"/>
  <c r="K8" i="2"/>
  <c r="I8" i="2"/>
  <c r="H8" i="2"/>
  <c r="G8" i="2"/>
  <c r="L7" i="2"/>
  <c r="K7" i="2"/>
  <c r="I7" i="2"/>
  <c r="H7" i="2"/>
  <c r="G7" i="2"/>
  <c r="L6" i="2"/>
  <c r="K6" i="2"/>
  <c r="I6" i="2"/>
  <c r="H6" i="2"/>
  <c r="G6" i="2"/>
  <c r="L5" i="2"/>
  <c r="K5" i="2"/>
  <c r="I5" i="2"/>
  <c r="H5" i="2"/>
  <c r="G5" i="2"/>
  <c r="L4" i="2"/>
  <c r="K4" i="2"/>
  <c r="I4" i="2"/>
  <c r="L3" i="2"/>
  <c r="K3" i="2"/>
  <c r="I3" i="2"/>
  <c r="H3" i="2"/>
  <c r="G3" i="2"/>
  <c r="L2" i="2"/>
  <c r="K2" i="2"/>
  <c r="I2" i="2"/>
  <c r="H2" i="2"/>
  <c r="G2" i="2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<sst xmlns="http://schemas.openxmlformats.org/spreadsheetml/2006/main" count="1425" uniqueCount="1030">
  <si>
    <t>Name</t>
  </si>
  <si>
    <t>Phone No</t>
  </si>
  <si>
    <t>Email</t>
  </si>
  <si>
    <t>User ID</t>
  </si>
  <si>
    <t>Purchase Date</t>
  </si>
  <si>
    <t>Expiring On</t>
  </si>
  <si>
    <t>Plan Name</t>
  </si>
  <si>
    <t>Plan Id</t>
  </si>
  <si>
    <t xml:space="preserve"> Allowed Days</t>
  </si>
  <si>
    <t>Progress %</t>
  </si>
  <si>
    <t>Lessons Completed</t>
  </si>
  <si>
    <t>Total Lessons</t>
  </si>
  <si>
    <t>Certificate</t>
  </si>
  <si>
    <t>Certificate Sent Date</t>
  </si>
  <si>
    <t>Access Type</t>
  </si>
  <si>
    <t>Sahil Nain</t>
  </si>
  <si>
    <t>+918607745499</t>
  </si>
  <si>
    <t>sahilnain585@gmail.com</t>
  </si>
  <si>
    <t>663cf6b266fffc0c0e297e5a</t>
  </si>
  <si>
    <t>2025-08-22T05:41:04.716Z</t>
  </si>
  <si>
    <t>2025-08-25T07:47:43.667Z</t>
  </si>
  <si>
    <t>Not Sent</t>
  </si>
  <si>
    <t>Course Purchase</t>
  </si>
  <si>
    <t xml:space="preserve">Tejas </t>
  </si>
  <si>
    <t>+919699768884</t>
  </si>
  <si>
    <t>tejas.gaikwad.01@gmail.com</t>
  </si>
  <si>
    <t>653fa7218bd3860c3ec528f4</t>
  </si>
  <si>
    <t>2025-08-12T05:21:21.112Z</t>
  </si>
  <si>
    <t>2025-09-10T07:39:45.302Z</t>
  </si>
  <si>
    <t>Package Purchase</t>
  </si>
  <si>
    <t xml:space="preserve">IndrJeetsingh Parmar </t>
  </si>
  <si>
    <t>+919898686837</t>
  </si>
  <si>
    <t>indrajeet.parmar30@gmail.com</t>
  </si>
  <si>
    <t>64e971884825d80b9e8f2593</t>
  </si>
  <si>
    <t>2025-06-14T07:09:59.583Z</t>
  </si>
  <si>
    <t>2025-07-14T07:12:08.071Z</t>
  </si>
  <si>
    <t xml:space="preserve">Priya </t>
  </si>
  <si>
    <t>+918116896489</t>
  </si>
  <si>
    <t>priyapushp99@gmail.com</t>
  </si>
  <si>
    <t>682b5b819cea024e119a931b</t>
  </si>
  <si>
    <t>2025-05-23T17:36:19.981Z</t>
  </si>
  <si>
    <t>2025-06-23T17:37:07.720Z</t>
  </si>
  <si>
    <t xml:space="preserve">gaurichavan32003 </t>
  </si>
  <si>
    <t>+919967520413</t>
  </si>
  <si>
    <t>gaurichavan32003@gmail.com</t>
  </si>
  <si>
    <t>6635d273b1430437ff4dcdbb</t>
  </si>
  <si>
    <t>2025-04-30T19:36:01.507Z</t>
  </si>
  <si>
    <t>2025-05-30T19:37:07.854Z</t>
  </si>
  <si>
    <t>Samarth Shah</t>
  </si>
  <si>
    <t>+919820682609</t>
  </si>
  <si>
    <t>meltingmints@gmail.com</t>
  </si>
  <si>
    <t>680bc07e98828a309cba8977</t>
  </si>
  <si>
    <t>2025-04-25T17:04:39.590Z</t>
  </si>
  <si>
    <t>2025-05-21T04:24:31.885Z</t>
  </si>
  <si>
    <t xml:space="preserve">arnavagarwallmc </t>
  </si>
  <si>
    <t>+917905708800</t>
  </si>
  <si>
    <t>arnavagarwallmc@gmail.com</t>
  </si>
  <si>
    <t>6635d325b1430437ff4df32c</t>
  </si>
  <si>
    <t>2025-04-17T00:00:41.934Z</t>
  </si>
  <si>
    <t>2025-05-17T00:02:08.089Z</t>
  </si>
  <si>
    <t xml:space="preserve">npp.pandit4 </t>
  </si>
  <si>
    <t>+919483875463</t>
  </si>
  <si>
    <t>npp.pandit4@gmail.com</t>
  </si>
  <si>
    <t>6635d4a3b4349537dc25688b</t>
  </si>
  <si>
    <t>2025-04-02T18:39:22.666Z</t>
  </si>
  <si>
    <t>2025-04-13T08:11:24.043Z</t>
  </si>
  <si>
    <t xml:space="preserve">Abhishek </t>
  </si>
  <si>
    <t>+918451033771</t>
  </si>
  <si>
    <t>nohgt77319@gmail.com</t>
  </si>
  <si>
    <t>67e18dd61f4be2308449868b</t>
  </si>
  <si>
    <t>2025-03-24T16:52:58.105Z</t>
  </si>
  <si>
    <t>2025-04-24T16:57:07.870Z</t>
  </si>
  <si>
    <t>Aman Mongia</t>
  </si>
  <si>
    <t>+919311788788</t>
  </si>
  <si>
    <t>aman023@gmail.com</t>
  </si>
  <si>
    <t>67d58a4c79de51308d0b7280</t>
  </si>
  <si>
    <t>2025-03-15T14:10:55.651Z</t>
  </si>
  <si>
    <t>2025-04-15T14:12:07.979Z</t>
  </si>
  <si>
    <t xml:space="preserve">Gopesh </t>
  </si>
  <si>
    <t>+917878649518</t>
  </si>
  <si>
    <t>sharmagopesh0001@gmail.com</t>
  </si>
  <si>
    <t>663e03ae2f84700c05fc6fb1</t>
  </si>
  <si>
    <t>2025-03-07T05:50:47.158Z</t>
  </si>
  <si>
    <t>2025-04-07T05:52:08.019Z</t>
  </si>
  <si>
    <t>Priyanshu Srivastava</t>
  </si>
  <si>
    <t>+916393685245</t>
  </si>
  <si>
    <t>priyanshu130301@gmail.com</t>
  </si>
  <si>
    <t>63f0d24f0a57231d760dc487</t>
  </si>
  <si>
    <t>2025-02-06T05:54:35.250Z</t>
  </si>
  <si>
    <t>2025-03-06T05:57:08.075Z</t>
  </si>
  <si>
    <t>Pavan Thakkar</t>
  </si>
  <si>
    <t>+916356881111</t>
  </si>
  <si>
    <t>Tpavan582@gmail.com</t>
  </si>
  <si>
    <t>6635d059b4349537dc25572e</t>
  </si>
  <si>
    <t>2025-02-05T08:29:32.488Z</t>
  </si>
  <si>
    <t>2025-08-05T08:32:08.064Z</t>
  </si>
  <si>
    <t>Kunal Srivastava</t>
  </si>
  <si>
    <t>+917617083859</t>
  </si>
  <si>
    <t>srivastavkunal0000@gmail.com</t>
  </si>
  <si>
    <t>6799ddcfb79856304be9ea3b</t>
  </si>
  <si>
    <t>2025-01-29T07:51:04.150Z</t>
  </si>
  <si>
    <t>2025-07-29T07:52:07.757Z</t>
  </si>
  <si>
    <t>Kumar P</t>
  </si>
  <si>
    <t>+917411828797</t>
  </si>
  <si>
    <t>nkpattanashetti.009@gmail.com</t>
  </si>
  <si>
    <t>6788c48700daa63012029e6f</t>
  </si>
  <si>
    <t>2025-01-16T12:11:47.876Z</t>
  </si>
  <si>
    <t>2025-07-16T12:12:08.083Z</t>
  </si>
  <si>
    <t xml:space="preserve">Divyanshu Shekhar </t>
  </si>
  <si>
    <t>+918603611223</t>
  </si>
  <si>
    <t>divyanshu441998@gmail.com</t>
  </si>
  <si>
    <t>677578bcd81b9b300f713529</t>
  </si>
  <si>
    <t>2025-01-05T19:09:46.305Z</t>
  </si>
  <si>
    <t>2025-07-05T19:12:07.820Z</t>
  </si>
  <si>
    <t xml:space="preserve">Vikas rao </t>
  </si>
  <si>
    <t>+918904191006</t>
  </si>
  <si>
    <t>vikas890419@gmail.com</t>
  </si>
  <si>
    <t>6648edcade513b0be5649df6</t>
  </si>
  <si>
    <t>2025-01-04T05:44:20.324Z</t>
  </si>
  <si>
    <t>2025-07-09T05:47:07.687Z</t>
  </si>
  <si>
    <t>ANIRUDH GUPTA</t>
  </si>
  <si>
    <t>+919873538760</t>
  </si>
  <si>
    <t>anirudhgupta.hsr@gmail.com</t>
  </si>
  <si>
    <t>67779c0f349d9d300feac9d2</t>
  </si>
  <si>
    <t>2025-01-03T08:13:43.219Z</t>
  </si>
  <si>
    <t>2025-07-03T08:17:07.794Z</t>
  </si>
  <si>
    <t xml:space="preserve">Rakesh borigam </t>
  </si>
  <si>
    <t>+919701283852</t>
  </si>
  <si>
    <t>rakhu94@gmail.com</t>
  </si>
  <si>
    <t>677590258e9bc63014da7c87</t>
  </si>
  <si>
    <t>2025-01-02T11:15:55.732Z</t>
  </si>
  <si>
    <t>2025-07-02T11:17:07.785Z</t>
  </si>
  <si>
    <t xml:space="preserve">universal_ndt </t>
  </si>
  <si>
    <t>+919819174615</t>
  </si>
  <si>
    <t>universal_ndt@outlook.com</t>
  </si>
  <si>
    <t>6635d499b4349537dc25668e</t>
  </si>
  <si>
    <t>2025-01-02T03:38:02.782Z</t>
  </si>
  <si>
    <t>2025-01-17T04:57:07.845Z</t>
  </si>
  <si>
    <t>Amit Sharma</t>
  </si>
  <si>
    <t>+918237293318</t>
  </si>
  <si>
    <t>amit@brintmarketingsolutions.com</t>
  </si>
  <si>
    <t>6773b230821a43301e94f3b1</t>
  </si>
  <si>
    <t>2024-12-31T09:01:14.854Z</t>
  </si>
  <si>
    <t>2025-03-31T09:02:08.115Z</t>
  </si>
  <si>
    <t>Dhairya -</t>
  </si>
  <si>
    <t>+917990305418</t>
  </si>
  <si>
    <t>hello@contemy.io</t>
  </si>
  <si>
    <t>677121fb2661ea300c6c6977</t>
  </si>
  <si>
    <t>2024-12-29T10:20:53.664Z</t>
  </si>
  <si>
    <t>2025-06-29T10:22:07.882Z</t>
  </si>
  <si>
    <t>Mansi Bhardwaj</t>
  </si>
  <si>
    <t>+919690995233</t>
  </si>
  <si>
    <t>geekytrails@gmail.com</t>
  </si>
  <si>
    <t>676cf75318a6ed302b6c34bf</t>
  </si>
  <si>
    <t>2024-12-26T06:27:50.643Z</t>
  </si>
  <si>
    <t>2025-01-26T06:32:07.830Z</t>
  </si>
  <si>
    <t>Rashi Panpaliya Dangra</t>
  </si>
  <si>
    <t>+919422738098</t>
  </si>
  <si>
    <t>chiragpanpaliya21@gmail.com</t>
  </si>
  <si>
    <t>658c73053afb131ac5f59690</t>
  </si>
  <si>
    <t>2024-12-22T11:53:45.279Z</t>
  </si>
  <si>
    <t>2025-06-22T11:57:07.730Z</t>
  </si>
  <si>
    <t>Yash Gulabani</t>
  </si>
  <si>
    <t>+918114476046</t>
  </si>
  <si>
    <t>yashgulabani107@gmail.com</t>
  </si>
  <si>
    <t>6635d23db1430437ff4dc28d</t>
  </si>
  <si>
    <t>2024-12-10T08:29:45.784Z</t>
  </si>
  <si>
    <t>2025-07-10T08:32:07.822Z</t>
  </si>
  <si>
    <t>Sent</t>
  </si>
  <si>
    <t>2025-05-21T15:06:15.827Z</t>
  </si>
  <si>
    <t>Ankur Kanojia</t>
  </si>
  <si>
    <t>+919999609323</t>
  </si>
  <si>
    <t>kanojia.ankur@gmail.com</t>
  </si>
  <si>
    <t>6731e4792535a62fff34fd2a</t>
  </si>
  <si>
    <t>2024-11-12T06:59:03.558Z</t>
  </si>
  <si>
    <t>2025-05-12T07:02:07.854Z</t>
  </si>
  <si>
    <t>Rahul Verma</t>
  </si>
  <si>
    <t>+918383871342</t>
  </si>
  <si>
    <t>verma.rahul1342@gmail.com</t>
  </si>
  <si>
    <t>66cd8aa689bca20bc19f1783</t>
  </si>
  <si>
    <t>2024-10-15T10:05:13.256Z</t>
  </si>
  <si>
    <t>2025-04-01T12:07:07.772Z</t>
  </si>
  <si>
    <t>Unnati Dubey</t>
  </si>
  <si>
    <t>+918226984272</t>
  </si>
  <si>
    <t>gauravsingh7270@gmail.com</t>
  </si>
  <si>
    <t>6471ae591e20271e0f6bf2fd</t>
  </si>
  <si>
    <t>2024-10-15T10:05:13.164Z</t>
  </si>
  <si>
    <t>2025-01-02T16:07:07.722Z</t>
  </si>
  <si>
    <t>Shubhankar Vashist</t>
  </si>
  <si>
    <t>+919821232452</t>
  </si>
  <si>
    <t>shubhiivashist@gmail.com</t>
  </si>
  <si>
    <t>6663371e4f9a1b0bdc68783f</t>
  </si>
  <si>
    <t>2024-10-15T10:05:13.145Z</t>
  </si>
  <si>
    <t>2025-09-04T08:32:07.769Z</t>
  </si>
  <si>
    <t>shreekant maharsi</t>
  </si>
  <si>
    <t>+918094090175</t>
  </si>
  <si>
    <t>sshreekant851@gmail.com</t>
  </si>
  <si>
    <t>66cf85cc9c2c6b0bcaab67c5</t>
  </si>
  <si>
    <t>2024-10-15T10:05:13.133Z</t>
  </si>
  <si>
    <t>2024-11-28T20:22:08.064Z</t>
  </si>
  <si>
    <t>Nayan Paramar</t>
  </si>
  <si>
    <t>+918849808086</t>
  </si>
  <si>
    <t>nayanparmar8302@gmail.com</t>
  </si>
  <si>
    <t>66c6aed429aff90bb451599e</t>
  </si>
  <si>
    <t>2024-10-15T10:05:13.128Z</t>
  </si>
  <si>
    <t>2025-03-02T08:52:08.001Z</t>
  </si>
  <si>
    <t>Priyanshu Jha</t>
  </si>
  <si>
    <t>+919711824071</t>
  </si>
  <si>
    <t>Priyanshujha569@gmail.com</t>
  </si>
  <si>
    <t>66b9e4d5544ab90bc6c0f59c</t>
  </si>
  <si>
    <t>2024-10-15T10:05:11.178Z</t>
  </si>
  <si>
    <t>2025-08-12T11:37:07.803Z</t>
  </si>
  <si>
    <t xml:space="preserve">onion </t>
  </si>
  <si>
    <t>+919135783805</t>
  </si>
  <si>
    <t>Oniononybobo@gmail.com</t>
  </si>
  <si>
    <t>66b9f299b13bec0bc80177a7</t>
  </si>
  <si>
    <t>2024-10-15T10:05:11.177Z</t>
  </si>
  <si>
    <t>2025-08-12T11:32:07.929Z</t>
  </si>
  <si>
    <t>msahu2595 Sahu</t>
  </si>
  <si>
    <t>+919009630808</t>
  </si>
  <si>
    <t>msahu2595@gmail.com</t>
  </si>
  <si>
    <t>6626101f9c4e4a0bbbe42424</t>
  </si>
  <si>
    <t>2024-10-15T10:05:11.172Z</t>
  </si>
  <si>
    <t xml:space="preserve">Arjun </t>
  </si>
  <si>
    <t>+918882690360</t>
  </si>
  <si>
    <t>Arjunnarang2408@gmail.com</t>
  </si>
  <si>
    <t>66b9f2d2b13bec0bc80179db</t>
  </si>
  <si>
    <t xml:space="preserve">bhargav </t>
  </si>
  <si>
    <t>+918421324389</t>
  </si>
  <si>
    <t>bhargavdoye410@gmail.com</t>
  </si>
  <si>
    <t>66b9f23eeb7d800bc65bab14</t>
  </si>
  <si>
    <t>2024-10-15T10:05:11.163Z</t>
  </si>
  <si>
    <t xml:space="preserve">Chirag vaid </t>
  </si>
  <si>
    <t>+917016248695</t>
  </si>
  <si>
    <t>chiragvaid310@gmail.com</t>
  </si>
  <si>
    <t>66814bb23018ba0bd93914a4</t>
  </si>
  <si>
    <t xml:space="preserve">mchandok2000 </t>
  </si>
  <si>
    <t>+919105117551</t>
  </si>
  <si>
    <t>mchandok2000@gmail.com</t>
  </si>
  <si>
    <t>6635dd7ab4349537dc257c49</t>
  </si>
  <si>
    <t xml:space="preserve">Vanshchadha654 </t>
  </si>
  <si>
    <t>+919999280874</t>
  </si>
  <si>
    <t>Vanshchadha654@gmail.com</t>
  </si>
  <si>
    <t>65f937b6c01f072eea32a856</t>
  </si>
  <si>
    <t>2024-10-15T10:05:11.159Z</t>
  </si>
  <si>
    <t xml:space="preserve">Shailam </t>
  </si>
  <si>
    <t>+919902708639</t>
  </si>
  <si>
    <t>shailam1996@gmail.com</t>
  </si>
  <si>
    <t>667c3a58d991870bc55d7d1d</t>
  </si>
  <si>
    <t>2024-10-15T10:05:11.141Z</t>
  </si>
  <si>
    <t>+918130111271</t>
  </si>
  <si>
    <t>abhi.qwerty316@gmail.com</t>
  </si>
  <si>
    <t>6675183b02809d0b9e91ee81</t>
  </si>
  <si>
    <t>2024-10-15T10:05:11.131Z</t>
  </si>
  <si>
    <t xml:space="preserve">Saurav </t>
  </si>
  <si>
    <t>+61434477025</t>
  </si>
  <si>
    <t>sauravchhabra88@gmail.com</t>
  </si>
  <si>
    <t>66adaaecf3f0c30bbb865554</t>
  </si>
  <si>
    <t>2024-10-15T10:05:09.247Z</t>
  </si>
  <si>
    <t>2024-11-03T06:12:08.020Z</t>
  </si>
  <si>
    <t>Nehul Oswal</t>
  </si>
  <si>
    <t>+917350010004</t>
  </si>
  <si>
    <t>nehuloswal4@gmail.com</t>
  </si>
  <si>
    <t>65f92027c01f072eea320371</t>
  </si>
  <si>
    <t>2024-10-15T10:05:09.201Z</t>
  </si>
  <si>
    <t>2025-07-13T07:12:07.811Z</t>
  </si>
  <si>
    <t>Saurav Raj</t>
  </si>
  <si>
    <t>+919874824220</t>
  </si>
  <si>
    <t>saurav158@gmail.com</t>
  </si>
  <si>
    <t>647bc13caf8a150a12ba5fc7</t>
  </si>
  <si>
    <t>2024-11-03T05:07:07.832Z</t>
  </si>
  <si>
    <t xml:space="preserve">Kaushal </t>
  </si>
  <si>
    <t>+917906827985</t>
  </si>
  <si>
    <t>kaushalkaran72400@gmail.com</t>
  </si>
  <si>
    <t>657d5bbe3a60eb1aa813b289</t>
  </si>
  <si>
    <t>SHLOK KEDIA</t>
  </si>
  <si>
    <t>+919330014641</t>
  </si>
  <si>
    <t>shlok.kedia1994@gmail.com</t>
  </si>
  <si>
    <t>663ce36eb05bd00bfd2c43cd</t>
  </si>
  <si>
    <t>2024-10-15T10:05:09.200Z</t>
  </si>
  <si>
    <t>2025-07-29T05:12:07.937Z</t>
  </si>
  <si>
    <t xml:space="preserve">Umesh </t>
  </si>
  <si>
    <t>+919182544291</t>
  </si>
  <si>
    <t>umesh.emmadishetty@gmail.com</t>
  </si>
  <si>
    <t>647c5a7d0f755818ed36dfdc</t>
  </si>
  <si>
    <t>2024-11-07T06:17:08.138Z</t>
  </si>
  <si>
    <t xml:space="preserve">Yash </t>
  </si>
  <si>
    <t>+919810939676</t>
  </si>
  <si>
    <t>Yashkaran14@gmail.com</t>
  </si>
  <si>
    <t>66b08d556835470bb6fed34c</t>
  </si>
  <si>
    <t>2025-08-06T05:27:07.694Z</t>
  </si>
  <si>
    <t>Amarjit Kumar</t>
  </si>
  <si>
    <t>+916204197832</t>
  </si>
  <si>
    <t>amarjitkumar9054@gmail.com</t>
  </si>
  <si>
    <t>6604459d04c5900b84a8a5d1</t>
  </si>
  <si>
    <t>2024-10-15T10:05:09.189Z</t>
  </si>
  <si>
    <t>2025-07-28T04:57:07.798Z</t>
  </si>
  <si>
    <t>Plan Duration</t>
  </si>
  <si>
    <t>Duration Type</t>
  </si>
  <si>
    <t>Allowed Days</t>
  </si>
  <si>
    <t>Allowed Months</t>
  </si>
  <si>
    <t>Ali Sindha</t>
  </si>
  <si>
    <t>+919726581075</t>
  </si>
  <si>
    <t>mohsindha15@gmail.com</t>
  </si>
  <si>
    <t>68c3ce89addf7e309d145ea5</t>
  </si>
  <si>
    <t>2025-09-12T07:40:57.796Z</t>
  </si>
  <si>
    <t>2025-10-13T00:00:00.000Z</t>
  </si>
  <si>
    <t xml:space="preserve">Anshul Singh </t>
  </si>
  <si>
    <t>+918756666614</t>
  </si>
  <si>
    <t>singhentpind@gmail.com</t>
  </si>
  <si>
    <t>68c26462845dc230917e0c24</t>
  </si>
  <si>
    <t>2025-09-11T05:55:46.455Z</t>
  </si>
  <si>
    <t>2025-10-12T00:00:00.000Z</t>
  </si>
  <si>
    <t>2025-09-10T07:39:45.408Z</t>
  </si>
  <si>
    <t>2025-11-12T00:00:00.000Z</t>
  </si>
  <si>
    <t>68d14ab6863c4aa139423899</t>
  </si>
  <si>
    <t>Alroy Rodrigues</t>
  </si>
  <si>
    <t>+918408995115</t>
  </si>
  <si>
    <t>alroyrods1@gmail.com</t>
  </si>
  <si>
    <t>64c5cc06e5797d0b9035756a</t>
  </si>
  <si>
    <t>2025-09-08T09:30:39.549Z</t>
  </si>
  <si>
    <t>2025-10-09T00:00:00.000Z</t>
  </si>
  <si>
    <t xml:space="preserve">MURARI GUPTA </t>
  </si>
  <si>
    <t>+919304591327</t>
  </si>
  <si>
    <t>murari.28.05.1998@gmail.com</t>
  </si>
  <si>
    <t>68ad4174d41d04309987d1ea</t>
  </si>
  <si>
    <t>2025-08-26T08:59:56.436Z</t>
  </si>
  <si>
    <t>2026-08-26T08:59:56.288Z</t>
  </si>
  <si>
    <t>2025-08-25T07:47:43.733Z</t>
  </si>
  <si>
    <t>2026-08-25T07:47:43.499Z</t>
  </si>
  <si>
    <t>priyanshu Dhiman</t>
  </si>
  <si>
    <t>+919518095609</t>
  </si>
  <si>
    <t>priyanshudhiman.official@gmail.com</t>
  </si>
  <si>
    <t>65f93ac984768f2f0ad6cf87</t>
  </si>
  <si>
    <t>2025-06-22T08:00:33.125Z</t>
  </si>
  <si>
    <t>2026-06-22T08:00:32.124Z</t>
  </si>
  <si>
    <t>Lovjeet Singh</t>
  </si>
  <si>
    <t>+919999479431</t>
  </si>
  <si>
    <t>nextupadvisors@gmail.com</t>
  </si>
  <si>
    <t>6672fe2abaae010ba7216d60</t>
  </si>
  <si>
    <t>2025-06-20T10:53:43.024Z</t>
  </si>
  <si>
    <t>2026-06-21T10:53:42.877Z</t>
  </si>
  <si>
    <t xml:space="preserve">Deepanshu </t>
  </si>
  <si>
    <t>+919899179588</t>
  </si>
  <si>
    <t>Deepanshusaini1995@gmail.com</t>
  </si>
  <si>
    <t>68553d91c08003308447c456</t>
  </si>
  <si>
    <t>2025-06-20T10:53:05.508Z</t>
  </si>
  <si>
    <t>2026-06-21T10:53:05.364Z</t>
  </si>
  <si>
    <t>Ruturaj Ganvir</t>
  </si>
  <si>
    <t>+919637115693</t>
  </si>
  <si>
    <t>ruturajganvir21@gmail.com</t>
  </si>
  <si>
    <t>684bb736b1bef02fde645223</t>
  </si>
  <si>
    <t>2025-06-13T05:30:23.099Z</t>
  </si>
  <si>
    <t>2026-06-13T05:30:21.749Z</t>
  </si>
  <si>
    <t>Mayank Arora</t>
  </si>
  <si>
    <t>+919625816699</t>
  </si>
  <si>
    <t>mayankarora02051999@gmail.com</t>
  </si>
  <si>
    <t>6833be8efd93102ff8532614</t>
  </si>
  <si>
    <t>2025-05-27T07:05:02.880Z</t>
  </si>
  <si>
    <t>2026-05-27T07:05:02.737Z</t>
  </si>
  <si>
    <t>Rushabh Pawar</t>
  </si>
  <si>
    <t>+917972640064</t>
  </si>
  <si>
    <t>rushabhpawar.1711@gmail.com</t>
  </si>
  <si>
    <t>66449ea0a7c5010c13041dd0</t>
  </si>
  <si>
    <t>2025-05-27T07:04:28.950Z</t>
  </si>
  <si>
    <t>2026-05-27T07:04:28.767Z</t>
  </si>
  <si>
    <t>SULEKH KUMAR</t>
  </si>
  <si>
    <t>+918252562975</t>
  </si>
  <si>
    <t>sulekhkumar2007@gmail.com</t>
  </si>
  <si>
    <t>682dc709fd93102ff8512d73</t>
  </si>
  <si>
    <t>2025-05-26T06:48:47.920Z</t>
  </si>
  <si>
    <t>2026-07-25T06:48:47.758Z</t>
  </si>
  <si>
    <t>68d14ab6863c4aa13942389d</t>
  </si>
  <si>
    <t>year</t>
  </si>
  <si>
    <t xml:space="preserve">Naresh </t>
  </si>
  <si>
    <t>+918875310661</t>
  </si>
  <si>
    <t>nareshlalwani220@gmail.com</t>
  </si>
  <si>
    <t>673f2945aec76c2ff5814fc3</t>
  </si>
  <si>
    <t>2025-05-25T09:51:06.347Z</t>
  </si>
  <si>
    <t>2026-05-25T09:51:05.378Z</t>
  </si>
  <si>
    <t>Ankur kumar</t>
  </si>
  <si>
    <t>+919939710710</t>
  </si>
  <si>
    <t>dighwayankur@gmail.com</t>
  </si>
  <si>
    <t>64e1ecd854fdbd1a23eb2f85</t>
  </si>
  <si>
    <t>2025-05-24T13:18:01.580Z</t>
  </si>
  <si>
    <t>2026-05-24T13:18:00.321Z</t>
  </si>
  <si>
    <t xml:space="preserve">Mohit Zambani </t>
  </si>
  <si>
    <t>+918668987175</t>
  </si>
  <si>
    <t>mdz1696@gmail.com</t>
  </si>
  <si>
    <t>641ada4b1898091db57e0798</t>
  </si>
  <si>
    <t>2025-05-24T10:10:50.320Z</t>
  </si>
  <si>
    <t>2026-05-24T10:10:48.994Z</t>
  </si>
  <si>
    <t xml:space="preserve">Nutan </t>
  </si>
  <si>
    <t>+918607089812</t>
  </si>
  <si>
    <t>nutanrawat25@gmail.com</t>
  </si>
  <si>
    <t>676f96ab93c22b30229dc57a</t>
  </si>
  <si>
    <t>2025-05-24T05:56:57.722Z</t>
  </si>
  <si>
    <t>2026-05-24T05:56:56.922Z</t>
  </si>
  <si>
    <t xml:space="preserve">Sumanth K V N S P M T </t>
  </si>
  <si>
    <t>+919347357906</t>
  </si>
  <si>
    <t>tejasumanth421@gmail.com</t>
  </si>
  <si>
    <t>65756863b9c4a61aab3787d0</t>
  </si>
  <si>
    <t>2025-05-23T18:36:10.212Z</t>
  </si>
  <si>
    <t>2026-05-23T18:36:09.247Z</t>
  </si>
  <si>
    <t xml:space="preserve">varmaabhijeet05 </t>
  </si>
  <si>
    <t>+918770093683</t>
  </si>
  <si>
    <t>varmaabhijeet05@gmail.com</t>
  </si>
  <si>
    <t>6635d46ab4349537dc255cf3</t>
  </si>
  <si>
    <t>2025-05-23T18:24:30.895Z</t>
  </si>
  <si>
    <t>2026-05-23T18:24:29.817Z</t>
  </si>
  <si>
    <t>Jugal Popat</t>
  </si>
  <si>
    <t>+918460625575</t>
  </si>
  <si>
    <t>jugalpopat2@gmail.com</t>
  </si>
  <si>
    <t>673c24f38292bd3026909131</t>
  </si>
  <si>
    <t>2025-05-23T18:23:21.880Z</t>
  </si>
  <si>
    <t>2026-05-23T18:23:21.087Z</t>
  </si>
  <si>
    <t>amulya jain</t>
  </si>
  <si>
    <t>+919350395232</t>
  </si>
  <si>
    <t>jainpriti555@gmail.com</t>
  </si>
  <si>
    <t>6830ba380cc8002ff1e6f851</t>
  </si>
  <si>
    <t>2025-05-23T18:16:06.645Z</t>
  </si>
  <si>
    <t>2026-05-23T18:16:05.390Z</t>
  </si>
  <si>
    <t>Bhupender Pal</t>
  </si>
  <si>
    <t>+918851996523</t>
  </si>
  <si>
    <t>bhupenderpal091997@gmail.com</t>
  </si>
  <si>
    <t>66d3ee65fa185f0be8fda2a2</t>
  </si>
  <si>
    <t>2025-05-23T18:14:41.081Z</t>
  </si>
  <si>
    <t>2026-05-23T18:14:40.145Z</t>
  </si>
  <si>
    <t xml:space="preserve">Rishabh Kumar </t>
  </si>
  <si>
    <t>+918527192287</t>
  </si>
  <si>
    <t>rishabh1teotia@outlook.com</t>
  </si>
  <si>
    <t>65b1e7666ef33f1d122d4b1a</t>
  </si>
  <si>
    <t>2025-05-23T18:06:18.943Z</t>
  </si>
  <si>
    <t>2026-05-23T18:06:18.189Z</t>
  </si>
  <si>
    <t>Nitin Dhiman</t>
  </si>
  <si>
    <t>+918800505707</t>
  </si>
  <si>
    <t>nitindhiman8434@gmail.com</t>
  </si>
  <si>
    <t>66165328bdd52f0bbde87b0b</t>
  </si>
  <si>
    <t>2025-05-23T18:02:20.883Z</t>
  </si>
  <si>
    <t>2025-11-23T18:02:19.641Z</t>
  </si>
  <si>
    <t>Adarsh Antony</t>
  </si>
  <si>
    <t>+919845625215</t>
  </si>
  <si>
    <t>bismiadarsh@gmail.com</t>
  </si>
  <si>
    <t>64d77947314c8d1a2088bb36</t>
  </si>
  <si>
    <t>2025-05-23T17:51:03.051Z</t>
  </si>
  <si>
    <t>2026-05-23T17:51:01.166Z</t>
  </si>
  <si>
    <t xml:space="preserve">Vishal </t>
  </si>
  <si>
    <t>+918570887366</t>
  </si>
  <si>
    <t>vishalpaliwal1309@gmail.com</t>
  </si>
  <si>
    <t>6777a85ed3803c30130e752a</t>
  </si>
  <si>
    <t>2025-05-23T17:36:04.758Z</t>
  </si>
  <si>
    <t>2026-05-23T17:36:03.447Z</t>
  </si>
  <si>
    <t>Jashanpreet singh</t>
  </si>
  <si>
    <t>+919815519719</t>
  </si>
  <si>
    <t>jashanggs@gmail.com</t>
  </si>
  <si>
    <t>6830b1950cc8002ff1e6f55f</t>
  </si>
  <si>
    <t>2025-05-23T17:34:56.954Z</t>
  </si>
  <si>
    <t>2026-05-23T17:34:55.703Z</t>
  </si>
  <si>
    <t>Career Infowis IT Solution Pvt Ltd</t>
  </si>
  <si>
    <t>+917206166510</t>
  </si>
  <si>
    <t>ashutoshrai137@yahoo.com</t>
  </si>
  <si>
    <t>666fb024efb6c30bf2ded0ed</t>
  </si>
  <si>
    <t>2025-05-23T17:18:24.312Z</t>
  </si>
  <si>
    <t>2026-05-23T17:18:23.549Z</t>
  </si>
  <si>
    <t xml:space="preserve">anmol.hada.1702 </t>
  </si>
  <si>
    <t>+919034611390</t>
  </si>
  <si>
    <t>anmol.hada.1702@gmail.com</t>
  </si>
  <si>
    <t>6635d246b1430437ff4dc46d</t>
  </si>
  <si>
    <t>2025-05-23T17:18:04.614Z</t>
  </si>
  <si>
    <t>2026-05-23T17:18:03.869Z</t>
  </si>
  <si>
    <t xml:space="preserve">Shubho </t>
  </si>
  <si>
    <t>+918073631488</t>
  </si>
  <si>
    <t>mark2digit@gmail.com</t>
  </si>
  <si>
    <t>6830ab410cc8002ff1e6f328</t>
  </si>
  <si>
    <t>2025-05-23T17:13:34.124Z</t>
  </si>
  <si>
    <t>2026-05-23T17:13:32.038Z</t>
  </si>
  <si>
    <t xml:space="preserve">kunj </t>
  </si>
  <si>
    <t>+916359426342</t>
  </si>
  <si>
    <t>akkunjacharya@gmail.com</t>
  </si>
  <si>
    <t>66407aff07a4a60bf2b09b59</t>
  </si>
  <si>
    <t>2025-05-23T17:08:10.621Z</t>
  </si>
  <si>
    <t>2026-05-23T17:08:09.842Z</t>
  </si>
  <si>
    <t>Prabjot Singh</t>
  </si>
  <si>
    <t>+919888826331</t>
  </si>
  <si>
    <t>prabjotsingh096@gmail.com</t>
  </si>
  <si>
    <t>68303540f022052ff42c3feb</t>
  </si>
  <si>
    <t>2025-05-23T16:53:07.420Z</t>
  </si>
  <si>
    <t>2026-05-23T16:53:06.150Z</t>
  </si>
  <si>
    <t>Pramod Bandgar</t>
  </si>
  <si>
    <t>+918208529350</t>
  </si>
  <si>
    <t>pramodbandgar0506@gmail.com</t>
  </si>
  <si>
    <t>66a780b01f4fec0bc927b1a6</t>
  </si>
  <si>
    <t>2025-05-23T16:43:46.893Z</t>
  </si>
  <si>
    <t>2026-05-23T16:43:46.184Z</t>
  </si>
  <si>
    <t xml:space="preserve">Vijay Kumar </t>
  </si>
  <si>
    <t>+919696996611</t>
  </si>
  <si>
    <t>vk9058@gmail.com</t>
  </si>
  <si>
    <t>680b2947eee2d430a2bf57a0</t>
  </si>
  <si>
    <t>2025-05-23T16:39:06.577Z</t>
  </si>
  <si>
    <t>2026-05-23T16:39:05.583Z</t>
  </si>
  <si>
    <t>Bikram Hazra</t>
  </si>
  <si>
    <t>+919748344846</t>
  </si>
  <si>
    <t>bikramhazra46@gmail.com</t>
  </si>
  <si>
    <t>68309f1c0cc8002ff1e6ed9c</t>
  </si>
  <si>
    <t>2025-05-23T16:38:01.587Z</t>
  </si>
  <si>
    <t>2026-05-23T16:38:00.274Z</t>
  </si>
  <si>
    <t>Vaishnav HADAWALE</t>
  </si>
  <si>
    <t>+919588477348</t>
  </si>
  <si>
    <t>vaishnavhadawale101@gmail.com</t>
  </si>
  <si>
    <t>65352590ebd9f90c253e712d</t>
  </si>
  <si>
    <t>2025-05-23T16:33:27.325Z</t>
  </si>
  <si>
    <t>2026-05-23T16:33:26.598Z</t>
  </si>
  <si>
    <t>Kumar Abhishek</t>
  </si>
  <si>
    <t>+919920449968</t>
  </si>
  <si>
    <t>akum19@gmail.com</t>
  </si>
  <si>
    <t>68309d88fd93102ff8522d19</t>
  </si>
  <si>
    <t>2025-05-23T16:09:25.513Z</t>
  </si>
  <si>
    <t>2026-05-23T16:09:24.217Z</t>
  </si>
  <si>
    <t>Rajesh Sharma</t>
  </si>
  <si>
    <t>+917665107889</t>
  </si>
  <si>
    <t>rshrma016@gmail.com</t>
  </si>
  <si>
    <t>6818d7a581f87e308dc1b3ba</t>
  </si>
  <si>
    <t>2025-05-23T15:42:26.175Z</t>
  </si>
  <si>
    <t>2026-05-23T15:42:25.061Z</t>
  </si>
  <si>
    <t>Abhishek jain</t>
  </si>
  <si>
    <t>+919953442955</t>
  </si>
  <si>
    <t>abhishekmjain032004@gmail.com</t>
  </si>
  <si>
    <t>67419e0b6888892fe71518d4</t>
  </si>
  <si>
    <t>2025-05-23T14:52:59.086Z</t>
  </si>
  <si>
    <t>2026-05-23T14:52:58.176Z</t>
  </si>
  <si>
    <t>Shivam Arora</t>
  </si>
  <si>
    <t>+917219119919</t>
  </si>
  <si>
    <t>arora27shivam@gmail.com</t>
  </si>
  <si>
    <t>64b0713e6499520bc50719fc</t>
  </si>
  <si>
    <t>2025-05-23T14:43:45.503Z</t>
  </si>
  <si>
    <t>2026-05-23T14:43:44.775Z</t>
  </si>
  <si>
    <t>Harsh Patel</t>
  </si>
  <si>
    <t>+917879681419</t>
  </si>
  <si>
    <t>www.harshpatel141@gmail.com</t>
  </si>
  <si>
    <t>683086531b67c02ffbb9bd03</t>
  </si>
  <si>
    <t>2025-05-23T14:31:11.925Z</t>
  </si>
  <si>
    <t>2026-05-23T14:31:10.656Z</t>
  </si>
  <si>
    <t>sunil sangtani</t>
  </si>
  <si>
    <t>+919602722212</t>
  </si>
  <si>
    <t>sunilsangtani99@gmail.com</t>
  </si>
  <si>
    <t>683080630cc8002ff1e6df1a</t>
  </si>
  <si>
    <t>2025-05-23T14:11:41.778Z</t>
  </si>
  <si>
    <t>2026-05-23T14:11:40.523Z</t>
  </si>
  <si>
    <t>Loveneesh Garg</t>
  </si>
  <si>
    <t>+919878909435</t>
  </si>
  <si>
    <t>loveneeshgarg214@gmail.com</t>
  </si>
  <si>
    <t>651709354c9fb60bec85a6ee</t>
  </si>
  <si>
    <t>2025-05-23T13:54:45.053Z</t>
  </si>
  <si>
    <t>2026-05-23T13:54:44.341Z</t>
  </si>
  <si>
    <t>Vishal Kumar</t>
  </si>
  <si>
    <t>+918340512445</t>
  </si>
  <si>
    <t>PRAS.KHERE@GMAIL.COM</t>
  </si>
  <si>
    <t>6635d24db1430437ff4dc5de</t>
  </si>
  <si>
    <t>2025-05-23T13:29:08.050Z</t>
  </si>
  <si>
    <t>2026-05-23T13:29:07.280Z</t>
  </si>
  <si>
    <t>Ashish Tanwar</t>
  </si>
  <si>
    <t>+919910719658</t>
  </si>
  <si>
    <t>atanwar1210@gmail.com</t>
  </si>
  <si>
    <t>65586dfabe82c31ab22e00f5</t>
  </si>
  <si>
    <t>2025-05-23T13:10:48.055Z</t>
  </si>
  <si>
    <t>2026-05-23T13:10:47.300Z</t>
  </si>
  <si>
    <t xml:space="preserve">kumavatpradeep999 </t>
  </si>
  <si>
    <t>+918452848383</t>
  </si>
  <si>
    <t>kumavatpradeep999@gmail.com</t>
  </si>
  <si>
    <t>6635d33eb1430437ff4df854</t>
  </si>
  <si>
    <t>2025-05-23T12:20:59.611Z</t>
  </si>
  <si>
    <t>2026-05-23T12:20:58.487Z</t>
  </si>
  <si>
    <t xml:space="preserve">pankajpolestar </t>
  </si>
  <si>
    <t>+917014733008</t>
  </si>
  <si>
    <t>pankajpolestar@gmail.com</t>
  </si>
  <si>
    <t>6635dd8fb4349537dc2580ce</t>
  </si>
  <si>
    <t>2025-05-23T11:36:43.356Z</t>
  </si>
  <si>
    <t>2026-05-23T11:36:42.390Z</t>
  </si>
  <si>
    <t xml:space="preserve">PANSHUL CHAUHAN </t>
  </si>
  <si>
    <t>+919654724480</t>
  </si>
  <si>
    <t>chauhan.panshul35@gmail.com</t>
  </si>
  <si>
    <t>68301e9bc89211308cdbd86f</t>
  </si>
  <si>
    <t>2025-05-23T10:19:21.170Z</t>
  </si>
  <si>
    <t>2026-05-23T10:19:20.260Z</t>
  </si>
  <si>
    <t>Snehal Rajguru</t>
  </si>
  <si>
    <t>+917575929191</t>
  </si>
  <si>
    <t>snhrajguru@gmail.com</t>
  </si>
  <si>
    <t>68304360f022052ff42c49af</t>
  </si>
  <si>
    <t>2025-05-23T09:47:26.032Z</t>
  </si>
  <si>
    <t>2026-05-23T09:47:24.759Z</t>
  </si>
  <si>
    <t>Rajdeep Das Purkayastha</t>
  </si>
  <si>
    <t>+917099753048</t>
  </si>
  <si>
    <t>rddaspurkayastha@gmail.com</t>
  </si>
  <si>
    <t>68301756f022052ff42c32a7</t>
  </si>
  <si>
    <t>2025-05-23T09:17:02.305Z</t>
  </si>
  <si>
    <t>2026-05-23T09:17:00.959Z</t>
  </si>
  <si>
    <t xml:space="preserve">malik.harshiv12 </t>
  </si>
  <si>
    <t>+919873887859</t>
  </si>
  <si>
    <t>malik.harshiv12@gmail.com</t>
  </si>
  <si>
    <t>63ea05949eb1571d6c190dd4</t>
  </si>
  <si>
    <t>2025-05-23T09:03:27.463Z</t>
  </si>
  <si>
    <t>2026-05-23T09:03:26.715Z</t>
  </si>
  <si>
    <t>TIKSHNA KUMAR TIWARI</t>
  </si>
  <si>
    <t>+917054248789</t>
  </si>
  <si>
    <t>tikshna.tiwary@gmail.com</t>
  </si>
  <si>
    <t>68302cc9f022052ff42c3c6f</t>
  </si>
  <si>
    <t>2025-05-23T08:20:04.221Z</t>
  </si>
  <si>
    <t>2026-05-23T08:20:02.832Z</t>
  </si>
  <si>
    <t>Sandhita agarwal</t>
  </si>
  <si>
    <t>+918971828778</t>
  </si>
  <si>
    <t>sandhita8mi@gmail.com</t>
  </si>
  <si>
    <t>683028b71b67c02ffbb98eb4</t>
  </si>
  <si>
    <t>2025-05-23T08:05:56.170Z</t>
  </si>
  <si>
    <t>2026-05-23T08:05:54.898Z</t>
  </si>
  <si>
    <t>ANUPAM BANERJI</t>
  </si>
  <si>
    <t>+919593939537</t>
  </si>
  <si>
    <t>anupamlcb@gmail.com</t>
  </si>
  <si>
    <t>6697a7a8993fd90bbadb2ae0</t>
  </si>
  <si>
    <t>2025-05-23T08:03:05.990Z</t>
  </si>
  <si>
    <t>2026-05-23T08:03:05.067Z</t>
  </si>
  <si>
    <t>Darshak Gadara</t>
  </si>
  <si>
    <t>+919904622012</t>
  </si>
  <si>
    <t>gadaradarshak254@gmail.com</t>
  </si>
  <si>
    <t>6676745c6b711f0b91a6f189</t>
  </si>
  <si>
    <t>2025-05-23T06:47:30.857Z</t>
  </si>
  <si>
    <t>2026-05-23T06:47:29.739Z</t>
  </si>
  <si>
    <t>Abhinav Kapoor</t>
  </si>
  <si>
    <t>+918219890447</t>
  </si>
  <si>
    <t>07abhinavkapoor@gmail.com</t>
  </si>
  <si>
    <t>6830155a0cc8002ff1e6ab5d</t>
  </si>
  <si>
    <t>2025-05-23T06:28:18.016Z</t>
  </si>
  <si>
    <t>2026-05-23T06:28:16.543Z</t>
  </si>
  <si>
    <t>Tanish Dua</t>
  </si>
  <si>
    <t>+918950235414</t>
  </si>
  <si>
    <t>tdua69@gmail.com</t>
  </si>
  <si>
    <t>6635ddacb4349537dc2586d6</t>
  </si>
  <si>
    <t>2025-05-23T05:32:03.203Z</t>
  </si>
  <si>
    <t>2026-05-23T05:32:02.516Z</t>
  </si>
  <si>
    <t xml:space="preserve">manojvaishya34 </t>
  </si>
  <si>
    <t>+917359067101</t>
  </si>
  <si>
    <t>manojvaishya34@gmail.com</t>
  </si>
  <si>
    <t>6635dd5ab4349537dc25757c</t>
  </si>
  <si>
    <t>2025-05-23T05:21:05.338Z</t>
  </si>
  <si>
    <t>2026-05-23T05:21:04.562Z</t>
  </si>
  <si>
    <t>Nikhil Goklani</t>
  </si>
  <si>
    <t>+918562839548</t>
  </si>
  <si>
    <t>goklaninikhil1815@gmail.com</t>
  </si>
  <si>
    <t>6644b5c44929a60c129c00ae</t>
  </si>
  <si>
    <t>2025-05-22T23:41:15.695Z</t>
  </si>
  <si>
    <t>2026-05-22T23:41:14.765Z</t>
  </si>
  <si>
    <t>Abhishek Roy</t>
  </si>
  <si>
    <t>+919151365999</t>
  </si>
  <si>
    <t>iabhishekroy@gmail.com</t>
  </si>
  <si>
    <t>680f11e0c801d0308f9dfd7e</t>
  </si>
  <si>
    <t>2025-05-22T21:04:34.275Z</t>
  </si>
  <si>
    <t>2026-05-22T21:04:33.200Z</t>
  </si>
  <si>
    <t xml:space="preserve">samyak </t>
  </si>
  <si>
    <t>+918240085137</t>
  </si>
  <si>
    <t>samyak.learn@gmail.com</t>
  </si>
  <si>
    <t>64db196372b9a61a168e38c3</t>
  </si>
  <si>
    <t>2025-05-22T19:26:53.768Z</t>
  </si>
  <si>
    <t>2026-05-22T19:26:52.340Z</t>
  </si>
  <si>
    <t>Nikhil Humane</t>
  </si>
  <si>
    <t>+918830065730</t>
  </si>
  <si>
    <t>nikhil.humane.02@gmail.com</t>
  </si>
  <si>
    <t>682f251cf022052ff42beac3</t>
  </si>
  <si>
    <t>2025-05-22T13:23:09.301Z</t>
  </si>
  <si>
    <t>2026-05-22T13:23:07.977Z</t>
  </si>
  <si>
    <t xml:space="preserve">Gaurav </t>
  </si>
  <si>
    <t>+919818135978</t>
  </si>
  <si>
    <t>gaurav.mdn1@gmail.com</t>
  </si>
  <si>
    <t>682e018e0cc8002ff1e5fe06</t>
  </si>
  <si>
    <t>2025-05-22T03:49:36.744Z</t>
  </si>
  <si>
    <t>2026-05-22T03:49:35.383Z</t>
  </si>
  <si>
    <t xml:space="preserve">Simarpreet </t>
  </si>
  <si>
    <t>+918587973878</t>
  </si>
  <si>
    <t>kalranikki28@gmail.com</t>
  </si>
  <si>
    <t>682e13d4f022052ff42b8e7b</t>
  </si>
  <si>
    <t>2025-05-21T18:01:21.071Z</t>
  </si>
  <si>
    <t>2026-05-21T18:01:19.820Z</t>
  </si>
  <si>
    <t xml:space="preserve">Susatya Saha </t>
  </si>
  <si>
    <t>+919932142282</t>
  </si>
  <si>
    <t>susatya.ss@gmail.com</t>
  </si>
  <si>
    <t>682e0ecd468ea6309cd460c5</t>
  </si>
  <si>
    <t>2025-05-21T17:50:01.210Z</t>
  </si>
  <si>
    <t>2026-05-21T17:50:00.224Z</t>
  </si>
  <si>
    <t>Ajay Bansod</t>
  </si>
  <si>
    <t>+919371441098</t>
  </si>
  <si>
    <t>ajaybansod1970@gmail.com</t>
  </si>
  <si>
    <t>682df6dd1b67c02ffbb8d428</t>
  </si>
  <si>
    <t>2025-05-21T16:10:16.658Z</t>
  </si>
  <si>
    <t>2026-05-21T16:10:15.328Z</t>
  </si>
  <si>
    <t xml:space="preserve">Ajay pal </t>
  </si>
  <si>
    <t>+919260926909</t>
  </si>
  <si>
    <t>ajaypalg488@gmail.com</t>
  </si>
  <si>
    <t>682ab7683280fc309cffd1b2</t>
  </si>
  <si>
    <t>2025-05-21T09:03:14.608Z</t>
  </si>
  <si>
    <t>2026-05-21T09:03:13.698Z</t>
  </si>
  <si>
    <t>2025-05-21T04:24:31.953Z</t>
  </si>
  <si>
    <t>2026-05-25T17:04:38.266Z</t>
  </si>
  <si>
    <t>Tarang Vyas</t>
  </si>
  <si>
    <t>+919978378939</t>
  </si>
  <si>
    <t>tarang.vyas@yahoo.in</t>
  </si>
  <si>
    <t>682cca07f022052ff42b2245</t>
  </si>
  <si>
    <t>2025-05-20T18:32:08.218Z</t>
  </si>
  <si>
    <t>2026-05-20T18:32:06.922Z</t>
  </si>
  <si>
    <t>+919484671897</t>
  </si>
  <si>
    <t>yogihp19@gmail.com</t>
  </si>
  <si>
    <t>67472de64b47fb30013bfb70</t>
  </si>
  <si>
    <t>2025-05-20T14:00:36.123Z</t>
  </si>
  <si>
    <t>2026-05-20T14:00:35.373Z</t>
  </si>
  <si>
    <t xml:space="preserve">gorumahendru </t>
  </si>
  <si>
    <t>+919812128866</t>
  </si>
  <si>
    <t>gorumahendru@gmail.com</t>
  </si>
  <si>
    <t>6635d477b4349537dc255f80</t>
  </si>
  <si>
    <t>2025-05-20T12:57:29.259Z</t>
  </si>
  <si>
    <t>2026-05-20T12:57:27.881Z</t>
  </si>
  <si>
    <t>Aaditya Sinha</t>
  </si>
  <si>
    <t>+917257917112</t>
  </si>
  <si>
    <t>aadisinha1129@gmail.com</t>
  </si>
  <si>
    <t>6585ac03138acd1ab22becc1</t>
  </si>
  <si>
    <t>2025-05-20T05:55:38.076Z</t>
  </si>
  <si>
    <t>2026-05-20T05:55:36.878Z</t>
  </si>
  <si>
    <t>Abhyuday Daharwal</t>
  </si>
  <si>
    <t>+919131483718</t>
  </si>
  <si>
    <t>abhyudaydaharwal@gmail.com</t>
  </si>
  <si>
    <t>64b0d523a892260bdac46328</t>
  </si>
  <si>
    <t>2025-05-19T15:17:29.599Z</t>
  </si>
  <si>
    <t>2026-05-19T15:17:28.813Z</t>
  </si>
  <si>
    <t>Rounak Jhawar</t>
  </si>
  <si>
    <t>+917776976725</t>
  </si>
  <si>
    <t>rounak.jhawar025@gmail.com</t>
  </si>
  <si>
    <t>682ad89df022052ff42a6034</t>
  </si>
  <si>
    <t>2025-05-19T13:39:12.419Z</t>
  </si>
  <si>
    <t>2026-05-19T13:39:11.075Z</t>
  </si>
  <si>
    <t xml:space="preserve">SHIVANG </t>
  </si>
  <si>
    <t>+919998871059</t>
  </si>
  <si>
    <t>shahshivang99@gmail.com</t>
  </si>
  <si>
    <t>648d4a65aa54be2e27e19f6f</t>
  </si>
  <si>
    <t>2025-05-19T09:34:46.412Z</t>
  </si>
  <si>
    <t>2026-05-19T09:34:45.052Z</t>
  </si>
  <si>
    <t xml:space="preserve">Arpit Bhatnagar </t>
  </si>
  <si>
    <t>+919057296732</t>
  </si>
  <si>
    <t>arpit.bhatnagar36@gmail.com</t>
  </si>
  <si>
    <t>678b73de33d5f43042e2fb7a</t>
  </si>
  <si>
    <t>2025-05-19T07:17:14.117Z</t>
  </si>
  <si>
    <t>2026-05-19T07:17:12.993Z</t>
  </si>
  <si>
    <t xml:space="preserve">luckyrocsks999 </t>
  </si>
  <si>
    <t>+918866764009</t>
  </si>
  <si>
    <t>luckyrocsks999@gmail.com</t>
  </si>
  <si>
    <t>64da0c1b83dfdd1a3700c80d</t>
  </si>
  <si>
    <t>2025-05-19T05:06:51.919Z</t>
  </si>
  <si>
    <t>2026-05-19T05:06:51.127Z</t>
  </si>
  <si>
    <t>Basubhatt6162 Expert</t>
  </si>
  <si>
    <t>+918851230544</t>
  </si>
  <si>
    <t>Basubhatt6162@gmail.com</t>
  </si>
  <si>
    <t>61a297892ba8230f30a39e87</t>
  </si>
  <si>
    <t>2025-05-19T03:41:47.058Z</t>
  </si>
  <si>
    <t>2026-05-19T03:41:45.962Z</t>
  </si>
  <si>
    <t xml:space="preserve">TANMAY SINHA </t>
  </si>
  <si>
    <t>+919650766482</t>
  </si>
  <si>
    <t>tanmay3011@gmail.com</t>
  </si>
  <si>
    <t>647c4e470f755818ed368974</t>
  </si>
  <si>
    <t>2025-05-18T21:04:24.052Z</t>
  </si>
  <si>
    <t>2026-05-18T21:04:23.066Z</t>
  </si>
  <si>
    <t>Krish Patel</t>
  </si>
  <si>
    <t>+917862817518</t>
  </si>
  <si>
    <t>krish03679@gmail.com</t>
  </si>
  <si>
    <t>67f89f0bc4257130273faecc</t>
  </si>
  <si>
    <t>2025-05-18T14:58:47.372Z</t>
  </si>
  <si>
    <t>2026-05-18T14:58:46.116Z</t>
  </si>
  <si>
    <t>Kush Sharma</t>
  </si>
  <si>
    <t>+917015339076</t>
  </si>
  <si>
    <t>kushlovesharma22911@gmail.com</t>
  </si>
  <si>
    <t>6829f0200cc8002ff1e492f8</t>
  </si>
  <si>
    <t>2025-05-18T14:36:44.400Z</t>
  </si>
  <si>
    <t>2026-05-18T14:36:43.059Z</t>
  </si>
  <si>
    <t>Rishabh Chauhan</t>
  </si>
  <si>
    <t>+918802742214</t>
  </si>
  <si>
    <t>rshbhchauhan@gmail.com</t>
  </si>
  <si>
    <t>6829d0d4fd93102ff84fd083</t>
  </si>
  <si>
    <t>2025-05-18T12:22:32.451Z</t>
  </si>
  <si>
    <t>2026-05-18T12:22:31.146Z</t>
  </si>
  <si>
    <t xml:space="preserve">Mohit </t>
  </si>
  <si>
    <t>+917088838481</t>
  </si>
  <si>
    <t>imy70888@gmail.com</t>
  </si>
  <si>
    <t>6645b3367d182b0bf72b90b8</t>
  </si>
  <si>
    <t>2025-05-18T11:37:56.355Z</t>
  </si>
  <si>
    <t>2026-05-18T11:37:55.361Z</t>
  </si>
  <si>
    <t>DHRUV JAIN</t>
  </si>
  <si>
    <t>+918076493529</t>
  </si>
  <si>
    <t>dhruv@techsteck.com</t>
  </si>
  <si>
    <t>6829a7591b67c02ffbb75478</t>
  </si>
  <si>
    <t>2025-05-18T09:26:35.402Z</t>
  </si>
  <si>
    <t>2026-05-18T09:26:34.067Z</t>
  </si>
  <si>
    <t>Abhijeet Kumar</t>
  </si>
  <si>
    <t>+918051160869</t>
  </si>
  <si>
    <t>ak0002232@gmail.com</t>
  </si>
  <si>
    <t>6829a30e1b67c02ffbb752b7</t>
  </si>
  <si>
    <t>2025-05-18T09:09:32.564Z</t>
  </si>
  <si>
    <t>2026-05-18T09:09:31.074Z</t>
  </si>
  <si>
    <t>Vishal Pratap Singh</t>
  </si>
  <si>
    <t>+917905352119</t>
  </si>
  <si>
    <t>vishalsingh194071@gmail.com</t>
  </si>
  <si>
    <t>68299ea40cc8002ff1e47334</t>
  </si>
  <si>
    <t>2025-05-18T08:48:19.693Z</t>
  </si>
  <si>
    <t>2026-05-18T08:48:18.400Z</t>
  </si>
  <si>
    <t>Faizan Qureshi</t>
  </si>
  <si>
    <t>+917600220804</t>
  </si>
  <si>
    <t>faizanqureshi0@gmail.com</t>
  </si>
  <si>
    <t>68299902fc8ac12ff2af3e37</t>
  </si>
  <si>
    <t>2025-05-18T08:25:41.739Z</t>
  </si>
  <si>
    <t>2026-05-18T08:25:40.396Z</t>
  </si>
  <si>
    <t>Pankaj Rana</t>
  </si>
  <si>
    <t>+917011529397</t>
  </si>
  <si>
    <t>ftdpankaj11011997@gmail.com</t>
  </si>
  <si>
    <t>65b8fb79fa89341d10392f31</t>
  </si>
  <si>
    <t>2025-05-18T06:47:11.271Z</t>
  </si>
  <si>
    <t>2026-05-18T06:47:09.856Z</t>
  </si>
  <si>
    <t>Aviral Gupta</t>
  </si>
  <si>
    <t>+919810447743</t>
  </si>
  <si>
    <t>aviralgupta2003@gmail.com</t>
  </si>
  <si>
    <t>66afa7a30adffd0be5e72d0b</t>
  </si>
  <si>
    <t>2025-05-13T13:15:27.740Z</t>
  </si>
  <si>
    <t>2025-11-13T13:15:26.949Z</t>
  </si>
  <si>
    <t>abdulworth5253 Seth</t>
  </si>
  <si>
    <t>+919752307015</t>
  </si>
  <si>
    <t>abdulworth5253@gmail.com</t>
  </si>
  <si>
    <t>6586c14f97fbdb1aadaadee5</t>
  </si>
  <si>
    <t>2025-02-21T12:50:18.114Z</t>
  </si>
  <si>
    <t>2026-02-21T12:50:17.438Z</t>
  </si>
  <si>
    <t xml:space="preserve">Shubham Das </t>
  </si>
  <si>
    <t>+917456853811</t>
  </si>
  <si>
    <t>dsamdas925@gmail.com</t>
  </si>
  <si>
    <t>66ee5c093d5e352ff680f602</t>
  </si>
  <si>
    <t>2025-02-03T17:19:38.137Z</t>
  </si>
  <si>
    <t>2026-02-03T17:19:37.272Z</t>
  </si>
  <si>
    <t xml:space="preserve">Aditi Dhara </t>
  </si>
  <si>
    <t>+917701970241</t>
  </si>
  <si>
    <t>dharaaditi36@gmail.com</t>
  </si>
  <si>
    <t>676ed86f3e3bb12ffb41ea44</t>
  </si>
  <si>
    <t>2025-01-09T05:07:04.177Z</t>
  </si>
  <si>
    <t>2125-01-09T05:07:03.817Z</t>
  </si>
  <si>
    <t>Debabrata Sahana</t>
  </si>
  <si>
    <t>+917057153572</t>
  </si>
  <si>
    <t>deabratasahana5@gmail.com</t>
  </si>
  <si>
    <t>677c124415205e300f3e2fd0</t>
  </si>
  <si>
    <t>2025-01-06T17:28:49.225Z</t>
  </si>
  <si>
    <t>2026-01-06T17:28:48.039Z</t>
  </si>
  <si>
    <t>Jai prakash</t>
  </si>
  <si>
    <t>+917800823333</t>
  </si>
  <si>
    <t>jpm3083@gmail.com</t>
  </si>
  <si>
    <t>668256691095670bbe5497f1</t>
  </si>
  <si>
    <t>2025-01-06T14:28:08.402Z</t>
  </si>
  <si>
    <t>2026-01-06T14:28:07.754Z</t>
  </si>
  <si>
    <t xml:space="preserve">Piyush </t>
  </si>
  <si>
    <t>+917895562416</t>
  </si>
  <si>
    <t>piyushamola@gmail.com</t>
  </si>
  <si>
    <t>64a10ba4c317650bc6684498</t>
  </si>
  <si>
    <t>2025-01-06T05:26:45.388Z</t>
  </si>
  <si>
    <t>2026-01-06T05:26:45.092Z</t>
  </si>
  <si>
    <t xml:space="preserve">Aryan </t>
  </si>
  <si>
    <t>+919909923244</t>
  </si>
  <si>
    <t>aryanukani@zohomail.in</t>
  </si>
  <si>
    <t>6776689e91b45c301ff229db</t>
  </si>
  <si>
    <t>2025-01-03T12:30:30.359Z</t>
  </si>
  <si>
    <t>2026-01-03T12:30:29.537Z</t>
  </si>
  <si>
    <t xml:space="preserve">Jai Sahu </t>
  </si>
  <si>
    <t>+917726070396</t>
  </si>
  <si>
    <t>jairaj2173@gmail.com</t>
  </si>
  <si>
    <t>6501156d01e3820bea0ad63e</t>
  </si>
  <si>
    <t>2025-01-03T11:01:39.648Z</t>
  </si>
  <si>
    <t>2026-01-03T11:01:38.627Z</t>
  </si>
  <si>
    <t>Tousif Akram</t>
  </si>
  <si>
    <t>+916202619173</t>
  </si>
  <si>
    <t>tousifakram@yahoo.com</t>
  </si>
  <si>
    <t>6635ddd9b4349537dc25906c</t>
  </si>
  <si>
    <t>2025-01-03T10:07:17.495Z</t>
  </si>
  <si>
    <t>2026-01-03T10:07:16.680Z</t>
  </si>
  <si>
    <t xml:space="preserve">Sonu </t>
  </si>
  <si>
    <t>+917303034905</t>
  </si>
  <si>
    <t>sp0397080@gmail.com</t>
  </si>
  <si>
    <t>67754b21fdfb1930052a06b2</t>
  </si>
  <si>
    <t>2025-01-02T16:59:49.905Z</t>
  </si>
  <si>
    <t>2026-01-02T16:59:49.162Z</t>
  </si>
  <si>
    <t xml:space="preserve">prasasthsportynair </t>
  </si>
  <si>
    <t>+917088257763</t>
  </si>
  <si>
    <t>prasasthsportynair@gmail.com</t>
  </si>
  <si>
    <t>64c6137edfd0450b88f7cbae</t>
  </si>
  <si>
    <t>2025-01-02T15:31:14.305Z</t>
  </si>
  <si>
    <t>2026-01-02T15:31:13.702Z</t>
  </si>
  <si>
    <t xml:space="preserve">Monik </t>
  </si>
  <si>
    <t>+919824567858</t>
  </si>
  <si>
    <t>dhadukmonik101@gmail.com</t>
  </si>
  <si>
    <t>666660c922161d0beefa7c03</t>
  </si>
  <si>
    <t>2025-01-02T13:45:59.487Z</t>
  </si>
  <si>
    <t>2026-01-02T13:45:58.895Z</t>
  </si>
  <si>
    <t xml:space="preserve">manpreet singh </t>
  </si>
  <si>
    <t>+919213299724</t>
  </si>
  <si>
    <t>milliardinternational@gmail.com</t>
  </si>
  <si>
    <t>64a1108edb8b980ba42c8bb2</t>
  </si>
  <si>
    <t>2025-01-02T04:02:51.164Z</t>
  </si>
  <si>
    <t>2026-01-02T04:02:50.179Z</t>
  </si>
  <si>
    <t xml:space="preserve">avianand145 </t>
  </si>
  <si>
    <t>+919660043620</t>
  </si>
  <si>
    <t>avianand145@gmail.com</t>
  </si>
  <si>
    <t>64da0c1583dfdd1a3700b63b</t>
  </si>
  <si>
    <t>2025-01-02T02:17:21.519Z</t>
  </si>
  <si>
    <t>2026-01-02T02:17:20.519Z</t>
  </si>
  <si>
    <t>Rafaliya Kenilkumar gopalbhai</t>
  </si>
  <si>
    <t>+919978988150</t>
  </si>
  <si>
    <t>kenilrafaliya007@gmail.com</t>
  </si>
  <si>
    <t>67756d2b5c25f63003671aa6</t>
  </si>
  <si>
    <t>2025-01-01T16:28:47.431Z</t>
  </si>
  <si>
    <t>2026-01-01T16:28:46.294Z</t>
  </si>
  <si>
    <t>Debmallya Mondal</t>
  </si>
  <si>
    <t>+919073939371</t>
  </si>
  <si>
    <t>debmallyamondalofficial@gmail.com</t>
  </si>
  <si>
    <t>663f1c80960f010c159498f8</t>
  </si>
  <si>
    <t>2025-01-01T15:11:20.963Z</t>
  </si>
  <si>
    <t>2026-01-01T15:11:20.348Z</t>
  </si>
  <si>
    <t>Hardik Bariya</t>
  </si>
  <si>
    <t>+917016915113</t>
  </si>
  <si>
    <t>www.hardik8472@gmail.com</t>
  </si>
  <si>
    <t>6774dd380b53363012d78d50</t>
  </si>
  <si>
    <t>2025-01-01T06:19:07.304Z</t>
  </si>
  <si>
    <t>2026-01-01T06:19:06.147Z</t>
  </si>
  <si>
    <t xml:space="preserve">Harpreet Singh </t>
  </si>
  <si>
    <t>+919780215339</t>
  </si>
  <si>
    <t>tonysinghchugh@gmail.com</t>
  </si>
  <si>
    <t>676d0c103ab86d3012cf72f7</t>
  </si>
  <si>
    <t>2025-01-01T01:40:39.332Z</t>
  </si>
  <si>
    <t>2026-01-01T01:40:38.781Z</t>
  </si>
  <si>
    <t xml:space="preserve">Vaibhav </t>
  </si>
  <si>
    <t>+919179219846</t>
  </si>
  <si>
    <t>vaibhavlearning24@gmail.com</t>
  </si>
  <si>
    <t>67544bb6b492413025be8cf9</t>
  </si>
  <si>
    <t>2024-12-31T17:06:38.283Z</t>
  </si>
  <si>
    <t>2025-12-31T17:06:37.465Z</t>
  </si>
  <si>
    <t xml:space="preserve">gauravgupta530 </t>
  </si>
  <si>
    <t>+919857107064</t>
  </si>
  <si>
    <t>gauravgupta530@gmail.com</t>
  </si>
  <si>
    <t>660532b9a598d042d6ef202e</t>
  </si>
  <si>
    <t>2024-12-29T07:42:24.830Z</t>
  </si>
  <si>
    <t>2025-12-29T07:42:24.120Z</t>
  </si>
  <si>
    <t xml:space="preserve">mansi.gupta2323 </t>
  </si>
  <si>
    <t>+919599026414</t>
  </si>
  <si>
    <t>mansi.gupta2323@gmail.com</t>
  </si>
  <si>
    <t>660532a6a598d042d6ef1be0</t>
  </si>
  <si>
    <t>2024-12-20T12:57:09.773Z</t>
  </si>
  <si>
    <t>2025-12-20T12:57:09.612Z</t>
  </si>
  <si>
    <t>Shaik Rizwan Ali</t>
  </si>
  <si>
    <t>+918790141250</t>
  </si>
  <si>
    <t>alishaikirfan1@gmail.com</t>
  </si>
  <si>
    <t>675035eea38e45301bb79a26</t>
  </si>
  <si>
    <t>2024-12-04T11:01:14.370Z</t>
  </si>
  <si>
    <t>2025-12-04T11:01:13.591Z</t>
  </si>
  <si>
    <t>Aman Tyagi</t>
  </si>
  <si>
    <t>+917730921581</t>
  </si>
  <si>
    <t>amantyagi29@gmail.com</t>
  </si>
  <si>
    <t>674da6e69cf6c43002a19423</t>
  </si>
  <si>
    <t>2024-12-02T14:06:29.476Z</t>
  </si>
  <si>
    <t>2025-12-02T14:06:28.690Z</t>
  </si>
  <si>
    <t xml:space="preserve">Alok </t>
  </si>
  <si>
    <t>+918451051789</t>
  </si>
  <si>
    <t>alok@heliumsolar.in</t>
  </si>
  <si>
    <t>670803e84a1b06300d9b2a49</t>
  </si>
  <si>
    <t>2024-11-27T16:41:20.820Z</t>
  </si>
  <si>
    <t>2025-11-27T16:41:20.080Z</t>
  </si>
  <si>
    <t>Vishal Bhardwaj</t>
  </si>
  <si>
    <t>+917877742772</t>
  </si>
  <si>
    <t>avsworkinfo@gmail.com</t>
  </si>
  <si>
    <t>64f98cb25442920be161ed96</t>
  </si>
  <si>
    <t>2024-11-20T10:26:04.634Z</t>
  </si>
  <si>
    <t>2025-11-20T10:26:03.699Z</t>
  </si>
  <si>
    <t xml:space="preserve">Krishn soni </t>
  </si>
  <si>
    <t>+918401496542</t>
  </si>
  <si>
    <t>krishnsoni230@gmail.com</t>
  </si>
  <si>
    <t>673c27102c4c5030064cd7b1</t>
  </si>
  <si>
    <t>2024-11-19T06:18:14.423Z</t>
  </si>
  <si>
    <t>2025-11-19T06:18:13.716Z</t>
  </si>
  <si>
    <t xml:space="preserve">Bhaskar Kaushik </t>
  </si>
  <si>
    <t>+919971904022</t>
  </si>
  <si>
    <t>bkbhaskarkaushik@gmail.com</t>
  </si>
  <si>
    <t>673b3101ab4eb730129eb2ac</t>
  </si>
  <si>
    <t>2024-11-18T12:26:52.478Z</t>
  </si>
  <si>
    <t>2025-11-18T12:26:51.722Z</t>
  </si>
  <si>
    <t>shonal bose</t>
  </si>
  <si>
    <t>+918898084588</t>
  </si>
  <si>
    <t>boseshonal@gmail.com</t>
  </si>
  <si>
    <t>673a16c3b468a6301be3aa81</t>
  </si>
  <si>
    <t>2024-11-17T16:18:22.875Z</t>
  </si>
  <si>
    <t>2025-11-17T16:18:21.763Z</t>
  </si>
  <si>
    <t>omkar koli</t>
  </si>
  <si>
    <t>+919619583156</t>
  </si>
  <si>
    <t>omkar.koli654@gmail.com</t>
  </si>
  <si>
    <t>6738e0ebb468a6301be374cd</t>
  </si>
  <si>
    <t>2024-11-16T18:15:27.443Z</t>
  </si>
  <si>
    <t>2025-11-16T18:15:26.356Z</t>
  </si>
  <si>
    <t>Ananda Behera</t>
  </si>
  <si>
    <t>+917751921220</t>
  </si>
  <si>
    <t>papu65816@gmail.com</t>
  </si>
  <si>
    <t>66b8fe0673bdb20bb2757692</t>
  </si>
  <si>
    <t>2024-11-14T09:54:53.652Z</t>
  </si>
  <si>
    <t>2025-11-14T09:54:52.922Z</t>
  </si>
  <si>
    <t xml:space="preserve">Raunak </t>
  </si>
  <si>
    <t>+9779810268573</t>
  </si>
  <si>
    <t>mishraraunak101@gmail.com</t>
  </si>
  <si>
    <t>66f455fc58da5a300ea4794a</t>
  </si>
  <si>
    <t>2024-10-15T10:05:13.193Z</t>
  </si>
  <si>
    <t>2025-09-25T18:28:37.939Z</t>
  </si>
  <si>
    <t xml:space="preserve">dhirsab </t>
  </si>
  <si>
    <t>+918824447777</t>
  </si>
  <si>
    <t>dhirsab@gmail.com</t>
  </si>
  <si>
    <t>660532baa598d042d6ef2094</t>
  </si>
  <si>
    <t>2024-10-15T10:05:13.190Z</t>
  </si>
  <si>
    <t>2025-09-29T06:48:12.772Z</t>
  </si>
  <si>
    <t xml:space="preserve">e </t>
  </si>
  <si>
    <t>+923339681915</t>
  </si>
  <si>
    <t>eassaseo@gmail.com</t>
  </si>
  <si>
    <t>66deb755bc289c0bbf0f06e0</t>
  </si>
  <si>
    <t>2024-10-15T10:05:13.181Z</t>
  </si>
  <si>
    <t>2025-12-17T05:17:27.592Z</t>
  </si>
  <si>
    <t xml:space="preserve">Rishab </t>
  </si>
  <si>
    <t>+919753068345</t>
  </si>
  <si>
    <t>rishabpurohit.rp@gmail.com</t>
  </si>
  <si>
    <t>657d4280a1bc741abdca3c2c</t>
  </si>
  <si>
    <t>2024-10-15T10:05:13.165Z</t>
  </si>
  <si>
    <t>2025-10-08T05:17:38.362Z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</si>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</sst>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50"/>
  <sheetViews>
    <sheetView workbookViewId="0"/>
  </sheetViews>
  <sheetFormatPr defaultColWidth="12.6640625" defaultRowHeight="15.75" customHeight="1" x14ac:dyDescent="0.25"/>
  <cols>
    <col min="1" max="1" width="19" customWidth="1"/>
    <col min="2" max="2" width="13.109375" customWidth="1"/>
    <col min="3" max="3" width="26.6640625" customWidth="1"/>
    <col min="4" max="4" width="23.21875" customWidth="1"/>
    <col min="5" max="11" width="21.21875" customWidth="1"/>
    <col min="12" max="12" width="9.6640625" customWidth="1"/>
    <col min="13" max="13" width="15.77734375" customWidth="1"/>
    <col min="14" max="14" width="11.21875" customWidth="1"/>
    <col min="15" max="15" width="8.44140625" customWidth="1"/>
    <col min="16" max="16" width="21.21875" customWidth="1"/>
    <col min="17" max="17" width="1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/>
      <c r="H2" s="1"/>
      <c r="I2" s="1">
        <f t="shared" ref="I2:I50" si="0">DATEDIF(
  DATEVALUE(MID(E2,1,10)) + TIMEVALUE(MID(E2,12,8)),
  DATEVALUE(MID(F2,1,10)) + TIMEVALUE(MID(F2,12,8)),
  "d"
)</f>
        <v>3</v>
      </c>
      <c r="J2" s="1">
        <f t="shared" ref="J2:J50" si="1">DATEDIF(
  DATEVALUE(MID(E2,1,10)) + TIMEVALUE(MID(E2,12,8)),
  DATEVALUE(MID(F2,1,10)) + TIMEVALUE(MID(F2,12,8)),
  "m"
)</f>
        <v>0</v>
      </c>
      <c r="K2" s="1"/>
      <c r="L2" s="2">
        <v>5.3</v>
      </c>
      <c r="M2" s="2">
        <v>21</v>
      </c>
      <c r="N2" s="2">
        <v>394</v>
      </c>
      <c r="O2" s="1" t="s">
        <v>21</v>
      </c>
      <c r="P2" s="1"/>
      <c r="Q2" s="1" t="s">
        <v>22</v>
      </c>
    </row>
    <row r="3" spans="1:17" x14ac:dyDescent="0.25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/>
      <c r="H3" s="1"/>
      <c r="I3" s="1">
        <f t="shared" si="0"/>
        <v>29</v>
      </c>
      <c r="J3" s="1">
        <f t="shared" si="1"/>
        <v>0</v>
      </c>
      <c r="K3" s="1"/>
      <c r="L3" s="2">
        <v>49.2</v>
      </c>
      <c r="M3" s="2">
        <v>194</v>
      </c>
      <c r="N3" s="2">
        <v>394</v>
      </c>
      <c r="O3" s="1" t="s">
        <v>21</v>
      </c>
      <c r="P3" s="1"/>
      <c r="Q3" s="1" t="s">
        <v>29</v>
      </c>
    </row>
    <row r="4" spans="1:17" x14ac:dyDescent="0.2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/>
      <c r="H4" s="1"/>
      <c r="I4" s="1">
        <f t="shared" si="0"/>
        <v>30</v>
      </c>
      <c r="J4" s="1">
        <f t="shared" si="1"/>
        <v>1</v>
      </c>
      <c r="K4" s="1"/>
      <c r="L4" s="2">
        <v>2.5</v>
      </c>
      <c r="M4" s="2">
        <v>10</v>
      </c>
      <c r="N4" s="2">
        <v>394</v>
      </c>
      <c r="O4" s="1" t="s">
        <v>21</v>
      </c>
      <c r="P4" s="1"/>
      <c r="Q4" s="1" t="s">
        <v>29</v>
      </c>
    </row>
    <row r="5" spans="1:17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/>
      <c r="H5" s="1"/>
      <c r="I5" s="1">
        <f t="shared" si="0"/>
        <v>31</v>
      </c>
      <c r="J5" s="1">
        <f t="shared" si="1"/>
        <v>1</v>
      </c>
      <c r="K5" s="1"/>
      <c r="L5" s="2">
        <v>0.8</v>
      </c>
      <c r="M5" s="2">
        <v>3</v>
      </c>
      <c r="N5" s="2">
        <v>394</v>
      </c>
      <c r="O5" s="1" t="s">
        <v>21</v>
      </c>
      <c r="P5" s="1"/>
      <c r="Q5" s="1" t="s">
        <v>29</v>
      </c>
    </row>
    <row r="6" spans="1:17" x14ac:dyDescent="0.25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47</v>
      </c>
      <c r="G6" s="1"/>
      <c r="H6" s="1"/>
      <c r="I6" s="1">
        <f t="shared" si="0"/>
        <v>30</v>
      </c>
      <c r="J6" s="1">
        <f t="shared" si="1"/>
        <v>1</v>
      </c>
      <c r="K6" s="1"/>
      <c r="L6" s="2">
        <v>20.3</v>
      </c>
      <c r="M6" s="2">
        <v>80</v>
      </c>
      <c r="N6" s="2">
        <v>394</v>
      </c>
      <c r="O6" s="1" t="s">
        <v>21</v>
      </c>
      <c r="P6" s="1"/>
      <c r="Q6" s="1" t="s">
        <v>29</v>
      </c>
    </row>
    <row r="7" spans="1:17" x14ac:dyDescent="0.25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/>
      <c r="H7" s="1"/>
      <c r="I7" s="1">
        <f t="shared" si="0"/>
        <v>26</v>
      </c>
      <c r="J7" s="1">
        <f t="shared" si="1"/>
        <v>0</v>
      </c>
      <c r="K7" s="1"/>
      <c r="L7" s="2">
        <v>12.9</v>
      </c>
      <c r="M7" s="2">
        <v>51</v>
      </c>
      <c r="N7" s="2">
        <v>394</v>
      </c>
      <c r="O7" s="1" t="s">
        <v>21</v>
      </c>
      <c r="P7" s="1"/>
      <c r="Q7" s="1" t="s">
        <v>29</v>
      </c>
    </row>
    <row r="8" spans="1:17" x14ac:dyDescent="0.25">
      <c r="A8" s="1" t="s">
        <v>54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59</v>
      </c>
      <c r="G8" s="1"/>
      <c r="H8" s="1"/>
      <c r="I8" s="1">
        <f t="shared" si="0"/>
        <v>30</v>
      </c>
      <c r="J8" s="1">
        <f t="shared" si="1"/>
        <v>1</v>
      </c>
      <c r="K8" s="1"/>
      <c r="L8" s="2">
        <v>3.3</v>
      </c>
      <c r="M8" s="2">
        <v>13</v>
      </c>
      <c r="N8" s="2">
        <v>394</v>
      </c>
      <c r="O8" s="1" t="s">
        <v>21</v>
      </c>
      <c r="P8" s="1"/>
      <c r="Q8" s="1" t="s">
        <v>29</v>
      </c>
    </row>
    <row r="9" spans="1:17" x14ac:dyDescent="0.25">
      <c r="A9" s="1" t="s">
        <v>60</v>
      </c>
      <c r="B9" s="1" t="s">
        <v>61</v>
      </c>
      <c r="C9" s="1" t="s">
        <v>62</v>
      </c>
      <c r="D9" s="1" t="s">
        <v>63</v>
      </c>
      <c r="E9" s="1" t="s">
        <v>64</v>
      </c>
      <c r="F9" s="1" t="s">
        <v>65</v>
      </c>
      <c r="G9" s="1"/>
      <c r="H9" s="1"/>
      <c r="I9" s="1">
        <f t="shared" si="0"/>
        <v>11</v>
      </c>
      <c r="J9" s="1">
        <f t="shared" si="1"/>
        <v>0</v>
      </c>
      <c r="K9" s="1"/>
      <c r="L9" s="2">
        <v>0.3</v>
      </c>
      <c r="M9" s="2">
        <v>1</v>
      </c>
      <c r="N9" s="2">
        <v>394</v>
      </c>
      <c r="O9" s="1" t="s">
        <v>21</v>
      </c>
      <c r="P9" s="1"/>
      <c r="Q9" s="1" t="s">
        <v>29</v>
      </c>
    </row>
    <row r="10" spans="1:17" x14ac:dyDescent="0.25">
      <c r="A10" s="1" t="s">
        <v>66</v>
      </c>
      <c r="B10" s="1" t="s">
        <v>67</v>
      </c>
      <c r="C10" s="1" t="s">
        <v>68</v>
      </c>
      <c r="D10" s="1" t="s">
        <v>69</v>
      </c>
      <c r="E10" s="1" t="s">
        <v>70</v>
      </c>
      <c r="F10" s="1" t="s">
        <v>71</v>
      </c>
      <c r="G10" s="1"/>
      <c r="H10" s="1"/>
      <c r="I10" s="1">
        <f t="shared" si="0"/>
        <v>31</v>
      </c>
      <c r="J10" s="1">
        <f t="shared" si="1"/>
        <v>1</v>
      </c>
      <c r="K10" s="1"/>
      <c r="L10" s="2">
        <v>2.5</v>
      </c>
      <c r="M10" s="2">
        <v>10</v>
      </c>
      <c r="N10" s="2">
        <v>394</v>
      </c>
      <c r="O10" s="1" t="s">
        <v>21</v>
      </c>
      <c r="P10" s="1"/>
      <c r="Q10" s="1" t="s">
        <v>29</v>
      </c>
    </row>
    <row r="11" spans="1:17" x14ac:dyDescent="0.25">
      <c r="A11" s="1" t="s">
        <v>72</v>
      </c>
      <c r="B11" s="1" t="s">
        <v>73</v>
      </c>
      <c r="C11" s="1" t="s">
        <v>74</v>
      </c>
      <c r="D11" s="1" t="s">
        <v>75</v>
      </c>
      <c r="E11" s="1" t="s">
        <v>76</v>
      </c>
      <c r="F11" s="1" t="s">
        <v>77</v>
      </c>
      <c r="G11" s="1"/>
      <c r="H11" s="1"/>
      <c r="I11" s="1">
        <f t="shared" si="0"/>
        <v>31</v>
      </c>
      <c r="J11" s="1">
        <f t="shared" si="1"/>
        <v>1</v>
      </c>
      <c r="K11" s="1"/>
      <c r="L11" s="2">
        <v>5.6</v>
      </c>
      <c r="M11" s="2">
        <v>22</v>
      </c>
      <c r="N11" s="2">
        <v>394</v>
      </c>
      <c r="O11" s="1" t="s">
        <v>21</v>
      </c>
      <c r="P11" s="1"/>
      <c r="Q11" s="1" t="s">
        <v>29</v>
      </c>
    </row>
    <row r="12" spans="1:17" x14ac:dyDescent="0.25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/>
      <c r="H12" s="1"/>
      <c r="I12" s="1">
        <f t="shared" si="0"/>
        <v>31</v>
      </c>
      <c r="J12" s="1">
        <f t="shared" si="1"/>
        <v>1</v>
      </c>
      <c r="K12" s="1"/>
      <c r="L12" s="2">
        <v>24.4</v>
      </c>
      <c r="M12" s="2">
        <v>96</v>
      </c>
      <c r="N12" s="2">
        <v>394</v>
      </c>
      <c r="O12" s="1" t="s">
        <v>21</v>
      </c>
      <c r="P12" s="1"/>
      <c r="Q12" s="1" t="s">
        <v>29</v>
      </c>
    </row>
    <row r="13" spans="1:17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/>
      <c r="H13" s="1"/>
      <c r="I13" s="1">
        <f t="shared" si="0"/>
        <v>28</v>
      </c>
      <c r="J13" s="1">
        <f t="shared" si="1"/>
        <v>1</v>
      </c>
      <c r="K13" s="1"/>
      <c r="L13" s="2">
        <v>29.4</v>
      </c>
      <c r="M13" s="2">
        <v>116</v>
      </c>
      <c r="N13" s="2">
        <v>394</v>
      </c>
      <c r="O13" s="1" t="s">
        <v>21</v>
      </c>
      <c r="P13" s="1"/>
      <c r="Q13" s="1" t="s">
        <v>29</v>
      </c>
    </row>
    <row r="14" spans="1:17" x14ac:dyDescent="0.25">
      <c r="A14" s="1" t="s">
        <v>90</v>
      </c>
      <c r="B14" s="1" t="s">
        <v>91</v>
      </c>
      <c r="C14" s="1" t="s">
        <v>92</v>
      </c>
      <c r="D14" s="1" t="s">
        <v>93</v>
      </c>
      <c r="E14" s="1" t="s">
        <v>94</v>
      </c>
      <c r="F14" s="1" t="s">
        <v>95</v>
      </c>
      <c r="G14" s="1"/>
      <c r="H14" s="1"/>
      <c r="I14" s="1">
        <f t="shared" si="0"/>
        <v>181</v>
      </c>
      <c r="J14" s="1">
        <f t="shared" si="1"/>
        <v>6</v>
      </c>
      <c r="K14" s="1"/>
      <c r="L14" s="2">
        <v>11.2</v>
      </c>
      <c r="M14" s="2">
        <v>44</v>
      </c>
      <c r="N14" s="2">
        <v>394</v>
      </c>
      <c r="O14" s="1" t="s">
        <v>21</v>
      </c>
      <c r="P14" s="1"/>
      <c r="Q14" s="1" t="s">
        <v>29</v>
      </c>
    </row>
    <row r="15" spans="1:17" x14ac:dyDescent="0.25">
      <c r="A15" s="1" t="s">
        <v>96</v>
      </c>
      <c r="B15" s="1" t="s">
        <v>97</v>
      </c>
      <c r="C15" s="1" t="s">
        <v>98</v>
      </c>
      <c r="D15" s="1" t="s">
        <v>99</v>
      </c>
      <c r="E15" s="1" t="s">
        <v>100</v>
      </c>
      <c r="F15" s="1" t="s">
        <v>101</v>
      </c>
      <c r="G15" s="1"/>
      <c r="H15" s="1"/>
      <c r="I15" s="1">
        <f t="shared" si="0"/>
        <v>181</v>
      </c>
      <c r="J15" s="1">
        <f t="shared" si="1"/>
        <v>6</v>
      </c>
      <c r="K15" s="1"/>
      <c r="L15" s="2">
        <v>45.4</v>
      </c>
      <c r="M15" s="2">
        <v>179</v>
      </c>
      <c r="N15" s="2">
        <v>394</v>
      </c>
      <c r="O15" s="1" t="s">
        <v>21</v>
      </c>
      <c r="P15" s="1"/>
      <c r="Q15" s="1" t="s">
        <v>29</v>
      </c>
    </row>
    <row r="16" spans="1:17" x14ac:dyDescent="0.25">
      <c r="A16" s="1" t="s">
        <v>102</v>
      </c>
      <c r="B16" s="1" t="s">
        <v>103</v>
      </c>
      <c r="C16" s="1" t="s">
        <v>104</v>
      </c>
      <c r="D16" s="1" t="s">
        <v>105</v>
      </c>
      <c r="E16" s="1" t="s">
        <v>106</v>
      </c>
      <c r="F16" s="1" t="s">
        <v>107</v>
      </c>
      <c r="G16" s="1"/>
      <c r="H16" s="1"/>
      <c r="I16" s="1">
        <f t="shared" si="0"/>
        <v>181</v>
      </c>
      <c r="J16" s="1">
        <f t="shared" si="1"/>
        <v>6</v>
      </c>
      <c r="K16" s="1"/>
      <c r="L16" s="2">
        <v>7.6</v>
      </c>
      <c r="M16" s="2">
        <v>30</v>
      </c>
      <c r="N16" s="2">
        <v>394</v>
      </c>
      <c r="O16" s="1" t="s">
        <v>21</v>
      </c>
      <c r="P16" s="1"/>
      <c r="Q16" s="1" t="s">
        <v>29</v>
      </c>
    </row>
    <row r="17" spans="1:17" x14ac:dyDescent="0.25">
      <c r="A17" s="1" t="s">
        <v>108</v>
      </c>
      <c r="B17" s="1" t="s">
        <v>109</v>
      </c>
      <c r="C17" s="1" t="s">
        <v>110</v>
      </c>
      <c r="D17" s="1" t="s">
        <v>111</v>
      </c>
      <c r="E17" s="1" t="s">
        <v>112</v>
      </c>
      <c r="F17" s="1" t="s">
        <v>113</v>
      </c>
      <c r="G17" s="1"/>
      <c r="H17" s="1"/>
      <c r="I17" s="1">
        <f t="shared" si="0"/>
        <v>181</v>
      </c>
      <c r="J17" s="1">
        <f t="shared" si="1"/>
        <v>6</v>
      </c>
      <c r="K17" s="1"/>
      <c r="L17" s="2">
        <v>12.2</v>
      </c>
      <c r="M17" s="2">
        <v>48</v>
      </c>
      <c r="N17" s="2">
        <v>394</v>
      </c>
      <c r="O17" s="1" t="s">
        <v>21</v>
      </c>
      <c r="P17" s="1"/>
      <c r="Q17" s="1" t="s">
        <v>29</v>
      </c>
    </row>
    <row r="18" spans="1:17" x14ac:dyDescent="0.25">
      <c r="A18" s="1" t="s">
        <v>114</v>
      </c>
      <c r="B18" s="1" t="s">
        <v>115</v>
      </c>
      <c r="C18" s="1" t="s">
        <v>116</v>
      </c>
      <c r="D18" s="1" t="s">
        <v>117</v>
      </c>
      <c r="E18" s="1" t="s">
        <v>118</v>
      </c>
      <c r="F18" s="1" t="s">
        <v>119</v>
      </c>
      <c r="G18" s="1"/>
      <c r="H18" s="1"/>
      <c r="I18" s="1">
        <f t="shared" si="0"/>
        <v>186</v>
      </c>
      <c r="J18" s="1">
        <f t="shared" si="1"/>
        <v>6</v>
      </c>
      <c r="K18" s="1"/>
      <c r="L18" s="2">
        <v>88.8</v>
      </c>
      <c r="M18" s="2">
        <v>350</v>
      </c>
      <c r="N18" s="2">
        <v>394</v>
      </c>
      <c r="O18" s="1" t="s">
        <v>21</v>
      </c>
      <c r="P18" s="1"/>
      <c r="Q18" s="1" t="s">
        <v>29</v>
      </c>
    </row>
    <row r="19" spans="1:17" x14ac:dyDescent="0.25">
      <c r="A19" s="1" t="s">
        <v>120</v>
      </c>
      <c r="B19" s="1" t="s">
        <v>121</v>
      </c>
      <c r="C19" s="1" t="s">
        <v>122</v>
      </c>
      <c r="D19" s="1" t="s">
        <v>123</v>
      </c>
      <c r="E19" s="1" t="s">
        <v>124</v>
      </c>
      <c r="F19" s="1" t="s">
        <v>125</v>
      </c>
      <c r="G19" s="1"/>
      <c r="H19" s="1"/>
      <c r="I19" s="1">
        <f t="shared" si="0"/>
        <v>181</v>
      </c>
      <c r="J19" s="1">
        <f t="shared" si="1"/>
        <v>6</v>
      </c>
      <c r="K19" s="1"/>
      <c r="L19" s="2">
        <v>1</v>
      </c>
      <c r="M19" s="2">
        <v>4</v>
      </c>
      <c r="N19" s="2">
        <v>394</v>
      </c>
      <c r="O19" s="1" t="s">
        <v>21</v>
      </c>
      <c r="P19" s="1"/>
      <c r="Q19" s="1" t="s">
        <v>29</v>
      </c>
    </row>
    <row r="20" spans="1:17" x14ac:dyDescent="0.25">
      <c r="A20" s="1" t="s">
        <v>126</v>
      </c>
      <c r="B20" s="1" t="s">
        <v>127</v>
      </c>
      <c r="C20" s="1" t="s">
        <v>128</v>
      </c>
      <c r="D20" s="1" t="s">
        <v>129</v>
      </c>
      <c r="E20" s="1" t="s">
        <v>130</v>
      </c>
      <c r="F20" s="1" t="s">
        <v>131</v>
      </c>
      <c r="G20" s="1"/>
      <c r="H20" s="1"/>
      <c r="I20" s="1">
        <f t="shared" si="0"/>
        <v>181</v>
      </c>
      <c r="J20" s="1">
        <f t="shared" si="1"/>
        <v>6</v>
      </c>
      <c r="K20" s="1"/>
      <c r="L20" s="2">
        <v>1</v>
      </c>
      <c r="M20" s="2">
        <v>4</v>
      </c>
      <c r="N20" s="2">
        <v>394</v>
      </c>
      <c r="O20" s="1" t="s">
        <v>21</v>
      </c>
      <c r="P20" s="1"/>
      <c r="Q20" s="1" t="s">
        <v>29</v>
      </c>
    </row>
    <row r="21" spans="1:17" x14ac:dyDescent="0.25">
      <c r="A21" s="1" t="s">
        <v>132</v>
      </c>
      <c r="B21" s="1" t="s">
        <v>133</v>
      </c>
      <c r="C21" s="1" t="s">
        <v>134</v>
      </c>
      <c r="D21" s="1" t="s">
        <v>135</v>
      </c>
      <c r="E21" s="1" t="s">
        <v>136</v>
      </c>
      <c r="F21" s="1" t="s">
        <v>137</v>
      </c>
      <c r="G21" s="1"/>
      <c r="H21" s="1"/>
      <c r="I21" s="1">
        <f t="shared" si="0"/>
        <v>15</v>
      </c>
      <c r="J21" s="1">
        <f t="shared" si="1"/>
        <v>0</v>
      </c>
      <c r="K21" s="1"/>
      <c r="L21" s="2">
        <v>1.8</v>
      </c>
      <c r="M21" s="2">
        <v>7</v>
      </c>
      <c r="N21" s="2">
        <v>394</v>
      </c>
      <c r="O21" s="1" t="s">
        <v>21</v>
      </c>
      <c r="P21" s="1"/>
      <c r="Q21" s="1" t="s">
        <v>29</v>
      </c>
    </row>
    <row r="22" spans="1:17" x14ac:dyDescent="0.25">
      <c r="A22" s="1" t="s">
        <v>138</v>
      </c>
      <c r="B22" s="1" t="s">
        <v>139</v>
      </c>
      <c r="C22" s="1" t="s">
        <v>140</v>
      </c>
      <c r="D22" s="1" t="s">
        <v>141</v>
      </c>
      <c r="E22" s="1" t="s">
        <v>142</v>
      </c>
      <c r="F22" s="1" t="s">
        <v>143</v>
      </c>
      <c r="G22" s="1"/>
      <c r="H22" s="1"/>
      <c r="I22" s="1">
        <f t="shared" si="0"/>
        <v>90</v>
      </c>
      <c r="J22" s="1">
        <f t="shared" si="1"/>
        <v>3</v>
      </c>
      <c r="K22" s="1"/>
      <c r="L22" s="2">
        <v>7.4</v>
      </c>
      <c r="M22" s="2">
        <v>29</v>
      </c>
      <c r="N22" s="2">
        <v>394</v>
      </c>
      <c r="O22" s="1" t="s">
        <v>21</v>
      </c>
      <c r="P22" s="1"/>
      <c r="Q22" s="1" t="s">
        <v>29</v>
      </c>
    </row>
    <row r="23" spans="1:17" x14ac:dyDescent="0.25">
      <c r="A23" s="1" t="s">
        <v>144</v>
      </c>
      <c r="B23" s="1" t="s">
        <v>145</v>
      </c>
      <c r="C23" s="1" t="s">
        <v>146</v>
      </c>
      <c r="D23" s="1" t="s">
        <v>147</v>
      </c>
      <c r="E23" s="1" t="s">
        <v>148</v>
      </c>
      <c r="F23" s="1" t="s">
        <v>149</v>
      </c>
      <c r="G23" s="1"/>
      <c r="H23" s="1"/>
      <c r="I23" s="1">
        <f t="shared" si="0"/>
        <v>182</v>
      </c>
      <c r="J23" s="1">
        <f t="shared" si="1"/>
        <v>6</v>
      </c>
      <c r="K23" s="1"/>
      <c r="L23" s="2">
        <v>8.1</v>
      </c>
      <c r="M23" s="2">
        <v>32</v>
      </c>
      <c r="N23" s="2">
        <v>394</v>
      </c>
      <c r="O23" s="1" t="s">
        <v>21</v>
      </c>
      <c r="P23" s="1"/>
      <c r="Q23" s="1" t="s">
        <v>29</v>
      </c>
    </row>
    <row r="24" spans="1:17" x14ac:dyDescent="0.25">
      <c r="A24" s="1" t="s">
        <v>150</v>
      </c>
      <c r="B24" s="1" t="s">
        <v>151</v>
      </c>
      <c r="C24" s="1" t="s">
        <v>152</v>
      </c>
      <c r="D24" s="1" t="s">
        <v>153</v>
      </c>
      <c r="E24" s="1" t="s">
        <v>154</v>
      </c>
      <c r="F24" s="1" t="s">
        <v>155</v>
      </c>
      <c r="G24" s="1"/>
      <c r="H24" s="1"/>
      <c r="I24" s="1">
        <f t="shared" si="0"/>
        <v>31</v>
      </c>
      <c r="J24" s="1">
        <f t="shared" si="1"/>
        <v>1</v>
      </c>
      <c r="K24" s="1"/>
      <c r="L24" s="2">
        <v>1</v>
      </c>
      <c r="M24" s="2">
        <v>4</v>
      </c>
      <c r="N24" s="2">
        <v>394</v>
      </c>
      <c r="O24" s="1" t="s">
        <v>21</v>
      </c>
      <c r="P24" s="1"/>
      <c r="Q24" s="1" t="s">
        <v>29</v>
      </c>
    </row>
    <row r="25" spans="1:17" x14ac:dyDescent="0.25">
      <c r="A25" s="1" t="s">
        <v>156</v>
      </c>
      <c r="B25" s="1" t="s">
        <v>157</v>
      </c>
      <c r="C25" s="1" t="s">
        <v>158</v>
      </c>
      <c r="D25" s="1" t="s">
        <v>159</v>
      </c>
      <c r="E25" s="1" t="s">
        <v>160</v>
      </c>
      <c r="F25" s="1" t="s">
        <v>161</v>
      </c>
      <c r="G25" s="1"/>
      <c r="H25" s="1"/>
      <c r="I25" s="1">
        <f t="shared" si="0"/>
        <v>182</v>
      </c>
      <c r="J25" s="1">
        <f t="shared" si="1"/>
        <v>6</v>
      </c>
      <c r="K25" s="1"/>
      <c r="L25" s="2">
        <v>45.7</v>
      </c>
      <c r="M25" s="2">
        <v>180</v>
      </c>
      <c r="N25" s="2">
        <v>394</v>
      </c>
      <c r="O25" s="1" t="s">
        <v>21</v>
      </c>
      <c r="P25" s="1"/>
      <c r="Q25" s="1" t="s">
        <v>29</v>
      </c>
    </row>
    <row r="26" spans="1:17" x14ac:dyDescent="0.25">
      <c r="A26" s="1" t="s">
        <v>162</v>
      </c>
      <c r="B26" s="1" t="s">
        <v>163</v>
      </c>
      <c r="C26" s="1" t="s">
        <v>164</v>
      </c>
      <c r="D26" s="1" t="s">
        <v>165</v>
      </c>
      <c r="E26" s="1" t="s">
        <v>166</v>
      </c>
      <c r="F26" s="1" t="s">
        <v>167</v>
      </c>
      <c r="G26" s="1"/>
      <c r="H26" s="1"/>
      <c r="I26" s="1">
        <f t="shared" si="0"/>
        <v>212</v>
      </c>
      <c r="J26" s="1">
        <f t="shared" si="1"/>
        <v>7</v>
      </c>
      <c r="K26" s="1"/>
      <c r="L26" s="2">
        <v>88.3</v>
      </c>
      <c r="M26" s="2">
        <v>348</v>
      </c>
      <c r="N26" s="2">
        <v>394</v>
      </c>
      <c r="O26" s="1" t="s">
        <v>168</v>
      </c>
      <c r="P26" s="1" t="s">
        <v>169</v>
      </c>
      <c r="Q26" s="1" t="s">
        <v>29</v>
      </c>
    </row>
    <row r="27" spans="1:17" x14ac:dyDescent="0.25">
      <c r="A27" s="1" t="s">
        <v>170</v>
      </c>
      <c r="B27" s="1" t="s">
        <v>171</v>
      </c>
      <c r="C27" s="1" t="s">
        <v>172</v>
      </c>
      <c r="D27" s="1" t="s">
        <v>173</v>
      </c>
      <c r="E27" s="1" t="s">
        <v>174</v>
      </c>
      <c r="F27" s="1" t="s">
        <v>175</v>
      </c>
      <c r="G27" s="1"/>
      <c r="H27" s="1"/>
      <c r="I27" s="1">
        <f t="shared" si="0"/>
        <v>181</v>
      </c>
      <c r="J27" s="1">
        <f t="shared" si="1"/>
        <v>6</v>
      </c>
      <c r="K27" s="1"/>
      <c r="L27" s="2">
        <v>32.200000000000003</v>
      </c>
      <c r="M27" s="2">
        <v>127</v>
      </c>
      <c r="N27" s="2">
        <v>394</v>
      </c>
      <c r="O27" s="1" t="s">
        <v>21</v>
      </c>
      <c r="P27" s="1"/>
      <c r="Q27" s="1" t="s">
        <v>29</v>
      </c>
    </row>
    <row r="28" spans="1:17" x14ac:dyDescent="0.25">
      <c r="A28" s="1" t="s">
        <v>176</v>
      </c>
      <c r="B28" s="1" t="s">
        <v>177</v>
      </c>
      <c r="C28" s="1" t="s">
        <v>178</v>
      </c>
      <c r="D28" s="1" t="s">
        <v>179</v>
      </c>
      <c r="E28" s="1" t="s">
        <v>180</v>
      </c>
      <c r="F28" s="1" t="s">
        <v>181</v>
      </c>
      <c r="G28" s="1"/>
      <c r="H28" s="1"/>
      <c r="I28" s="1">
        <f t="shared" si="0"/>
        <v>168</v>
      </c>
      <c r="J28" s="1">
        <f t="shared" si="1"/>
        <v>5</v>
      </c>
      <c r="K28" s="1"/>
      <c r="L28" s="2">
        <v>0</v>
      </c>
      <c r="M28" s="2">
        <v>0</v>
      </c>
      <c r="N28" s="2">
        <v>394</v>
      </c>
      <c r="O28" s="1" t="s">
        <v>21</v>
      </c>
      <c r="P28" s="1"/>
      <c r="Q28" s="1" t="s">
        <v>29</v>
      </c>
    </row>
    <row r="29" spans="1:17" x14ac:dyDescent="0.25">
      <c r="A29" s="1" t="s">
        <v>182</v>
      </c>
      <c r="B29" s="1" t="s">
        <v>183</v>
      </c>
      <c r="C29" s="1" t="s">
        <v>184</v>
      </c>
      <c r="D29" s="1" t="s">
        <v>185</v>
      </c>
      <c r="E29" s="1" t="s">
        <v>186</v>
      </c>
      <c r="F29" s="1" t="s">
        <v>187</v>
      </c>
      <c r="G29" s="1"/>
      <c r="H29" s="1"/>
      <c r="I29" s="1">
        <f t="shared" si="0"/>
        <v>79</v>
      </c>
      <c r="J29" s="1">
        <f t="shared" si="1"/>
        <v>2</v>
      </c>
      <c r="K29" s="1"/>
      <c r="L29" s="2">
        <v>0</v>
      </c>
      <c r="M29" s="2">
        <v>0</v>
      </c>
      <c r="N29" s="2">
        <v>394</v>
      </c>
      <c r="O29" s="1" t="s">
        <v>21</v>
      </c>
      <c r="P29" s="1"/>
      <c r="Q29" s="1" t="s">
        <v>29</v>
      </c>
    </row>
    <row r="30" spans="1:17" x14ac:dyDescent="0.25">
      <c r="A30" s="1" t="s">
        <v>188</v>
      </c>
      <c r="B30" s="1" t="s">
        <v>189</v>
      </c>
      <c r="C30" s="1" t="s">
        <v>190</v>
      </c>
      <c r="D30" s="1" t="s">
        <v>191</v>
      </c>
      <c r="E30" s="1" t="s">
        <v>192</v>
      </c>
      <c r="F30" s="1" t="s">
        <v>193</v>
      </c>
      <c r="G30" s="1"/>
      <c r="H30" s="1"/>
      <c r="I30" s="1">
        <f t="shared" si="0"/>
        <v>324</v>
      </c>
      <c r="J30" s="1">
        <f t="shared" si="1"/>
        <v>10</v>
      </c>
      <c r="K30" s="1"/>
      <c r="L30" s="2">
        <v>22.1</v>
      </c>
      <c r="M30" s="2">
        <v>87</v>
      </c>
      <c r="N30" s="2">
        <v>394</v>
      </c>
      <c r="O30" s="1" t="s">
        <v>21</v>
      </c>
      <c r="P30" s="1"/>
      <c r="Q30" s="1" t="s">
        <v>29</v>
      </c>
    </row>
    <row r="31" spans="1:17" x14ac:dyDescent="0.25">
      <c r="A31" s="1" t="s">
        <v>194</v>
      </c>
      <c r="B31" s="1" t="s">
        <v>195</v>
      </c>
      <c r="C31" s="1" t="s">
        <v>196</v>
      </c>
      <c r="D31" s="1" t="s">
        <v>197</v>
      </c>
      <c r="E31" s="1" t="s">
        <v>198</v>
      </c>
      <c r="F31" s="1" t="s">
        <v>199</v>
      </c>
      <c r="G31" s="1"/>
      <c r="H31" s="1"/>
      <c r="I31" s="1">
        <f t="shared" si="0"/>
        <v>44</v>
      </c>
      <c r="J31" s="1">
        <f t="shared" si="1"/>
        <v>1</v>
      </c>
      <c r="K31" s="1"/>
      <c r="L31" s="2">
        <v>0</v>
      </c>
      <c r="M31" s="2">
        <v>0</v>
      </c>
      <c r="N31" s="2">
        <v>394</v>
      </c>
      <c r="O31" s="1" t="s">
        <v>21</v>
      </c>
      <c r="P31" s="1"/>
      <c r="Q31" s="1" t="s">
        <v>29</v>
      </c>
    </row>
    <row r="32" spans="1:17" x14ac:dyDescent="0.25">
      <c r="A32" s="1" t="s">
        <v>200</v>
      </c>
      <c r="B32" s="1" t="s">
        <v>201</v>
      </c>
      <c r="C32" s="1" t="s">
        <v>202</v>
      </c>
      <c r="D32" s="1" t="s">
        <v>203</v>
      </c>
      <c r="E32" s="1" t="s">
        <v>204</v>
      </c>
      <c r="F32" s="1" t="s">
        <v>205</v>
      </c>
      <c r="G32" s="1"/>
      <c r="H32" s="1"/>
      <c r="I32" s="1">
        <f t="shared" si="0"/>
        <v>138</v>
      </c>
      <c r="J32" s="1">
        <f t="shared" si="1"/>
        <v>4</v>
      </c>
      <c r="K32" s="1"/>
      <c r="L32" s="2">
        <v>0</v>
      </c>
      <c r="M32" s="2">
        <v>0</v>
      </c>
      <c r="N32" s="2">
        <v>394</v>
      </c>
      <c r="O32" s="1" t="s">
        <v>21</v>
      </c>
      <c r="P32" s="1"/>
      <c r="Q32" s="1" t="s">
        <v>29</v>
      </c>
    </row>
    <row r="33" spans="1:17" x14ac:dyDescent="0.25">
      <c r="A33" s="1" t="s">
        <v>206</v>
      </c>
      <c r="B33" s="1" t="s">
        <v>207</v>
      </c>
      <c r="C33" s="1" t="s">
        <v>208</v>
      </c>
      <c r="D33" s="1" t="s">
        <v>209</v>
      </c>
      <c r="E33" s="1" t="s">
        <v>210</v>
      </c>
      <c r="F33" s="1" t="s">
        <v>211</v>
      </c>
      <c r="G33" s="1"/>
      <c r="H33" s="1"/>
      <c r="I33" s="1">
        <f t="shared" si="0"/>
        <v>301</v>
      </c>
      <c r="J33" s="1">
        <f t="shared" si="1"/>
        <v>9</v>
      </c>
      <c r="K33" s="1"/>
      <c r="L33" s="2">
        <v>0</v>
      </c>
      <c r="M33" s="2">
        <v>0</v>
      </c>
      <c r="N33" s="2">
        <v>394</v>
      </c>
      <c r="O33" s="1" t="s">
        <v>21</v>
      </c>
      <c r="P33" s="1"/>
      <c r="Q33" s="1" t="s">
        <v>29</v>
      </c>
    </row>
    <row r="34" spans="1:17" x14ac:dyDescent="0.25">
      <c r="A34" s="1" t="s">
        <v>212</v>
      </c>
      <c r="B34" s="1" t="s">
        <v>213</v>
      </c>
      <c r="C34" s="1" t="s">
        <v>214</v>
      </c>
      <c r="D34" s="1" t="s">
        <v>215</v>
      </c>
      <c r="E34" s="1" t="s">
        <v>216</v>
      </c>
      <c r="F34" s="1" t="s">
        <v>217</v>
      </c>
      <c r="G34" s="1"/>
      <c r="H34" s="1"/>
      <c r="I34" s="1">
        <f t="shared" si="0"/>
        <v>301</v>
      </c>
      <c r="J34" s="1">
        <f t="shared" si="1"/>
        <v>9</v>
      </c>
      <c r="K34" s="1"/>
      <c r="L34" s="2">
        <v>0</v>
      </c>
      <c r="M34" s="2">
        <v>0</v>
      </c>
      <c r="N34" s="2">
        <v>394</v>
      </c>
      <c r="O34" s="1" t="s">
        <v>21</v>
      </c>
      <c r="P34" s="1"/>
      <c r="Q34" s="1" t="s">
        <v>29</v>
      </c>
    </row>
    <row r="35" spans="1:17" x14ac:dyDescent="0.25">
      <c r="A35" s="1" t="s">
        <v>218</v>
      </c>
      <c r="B35" s="1" t="s">
        <v>219</v>
      </c>
      <c r="C35" s="1" t="s">
        <v>220</v>
      </c>
      <c r="D35" s="1" t="s">
        <v>221</v>
      </c>
      <c r="E35" s="1" t="s">
        <v>222</v>
      </c>
      <c r="F35" s="1" t="s">
        <v>217</v>
      </c>
      <c r="G35" s="1"/>
      <c r="H35" s="1"/>
      <c r="I35" s="1">
        <f t="shared" si="0"/>
        <v>301</v>
      </c>
      <c r="J35" s="1">
        <f t="shared" si="1"/>
        <v>9</v>
      </c>
      <c r="K35" s="1"/>
      <c r="L35" s="2">
        <v>2</v>
      </c>
      <c r="M35" s="2">
        <v>8</v>
      </c>
      <c r="N35" s="2">
        <v>394</v>
      </c>
      <c r="O35" s="1" t="s">
        <v>21</v>
      </c>
      <c r="P35" s="1"/>
      <c r="Q35" s="1" t="s">
        <v>29</v>
      </c>
    </row>
    <row r="36" spans="1:17" x14ac:dyDescent="0.25">
      <c r="A36" s="1" t="s">
        <v>223</v>
      </c>
      <c r="B36" s="1" t="s">
        <v>224</v>
      </c>
      <c r="C36" s="1" t="s">
        <v>225</v>
      </c>
      <c r="D36" s="1" t="s">
        <v>226</v>
      </c>
      <c r="E36" s="1" t="s">
        <v>222</v>
      </c>
      <c r="F36" s="1" t="s">
        <v>211</v>
      </c>
      <c r="G36" s="1"/>
      <c r="H36" s="1"/>
      <c r="I36" s="1">
        <f t="shared" si="0"/>
        <v>301</v>
      </c>
      <c r="J36" s="1">
        <f t="shared" si="1"/>
        <v>9</v>
      </c>
      <c r="K36" s="1"/>
      <c r="L36" s="2">
        <v>0</v>
      </c>
      <c r="M36" s="2">
        <v>0</v>
      </c>
      <c r="N36" s="2">
        <v>394</v>
      </c>
      <c r="O36" s="1" t="s">
        <v>21</v>
      </c>
      <c r="P36" s="1"/>
      <c r="Q36" s="1" t="s">
        <v>29</v>
      </c>
    </row>
    <row r="37" spans="1:17" x14ac:dyDescent="0.25">
      <c r="A37" s="1" t="s">
        <v>227</v>
      </c>
      <c r="B37" s="1" t="s">
        <v>228</v>
      </c>
      <c r="C37" s="1" t="s">
        <v>229</v>
      </c>
      <c r="D37" s="1" t="s">
        <v>230</v>
      </c>
      <c r="E37" s="1" t="s">
        <v>231</v>
      </c>
      <c r="F37" s="1" t="s">
        <v>217</v>
      </c>
      <c r="G37" s="1"/>
      <c r="H37" s="1"/>
      <c r="I37" s="1">
        <f t="shared" si="0"/>
        <v>301</v>
      </c>
      <c r="J37" s="1">
        <f t="shared" si="1"/>
        <v>9</v>
      </c>
      <c r="K37" s="1"/>
      <c r="L37" s="2">
        <v>0</v>
      </c>
      <c r="M37" s="2">
        <v>0</v>
      </c>
      <c r="N37" s="2">
        <v>394</v>
      </c>
      <c r="O37" s="1" t="s">
        <v>21</v>
      </c>
      <c r="P37" s="1"/>
      <c r="Q37" s="1" t="s">
        <v>29</v>
      </c>
    </row>
    <row r="38" spans="1:17" x14ac:dyDescent="0.25">
      <c r="A38" s="1" t="s">
        <v>232</v>
      </c>
      <c r="B38" s="1" t="s">
        <v>233</v>
      </c>
      <c r="C38" s="1" t="s">
        <v>234</v>
      </c>
      <c r="D38" s="1" t="s">
        <v>235</v>
      </c>
      <c r="E38" s="1" t="s">
        <v>231</v>
      </c>
      <c r="F38" s="1" t="s">
        <v>211</v>
      </c>
      <c r="G38" s="1"/>
      <c r="H38" s="1"/>
      <c r="I38" s="1">
        <f t="shared" si="0"/>
        <v>301</v>
      </c>
      <c r="J38" s="1">
        <f t="shared" si="1"/>
        <v>9</v>
      </c>
      <c r="K38" s="1"/>
      <c r="L38" s="2">
        <v>0.5</v>
      </c>
      <c r="M38" s="2">
        <v>2</v>
      </c>
      <c r="N38" s="2">
        <v>394</v>
      </c>
      <c r="O38" s="1" t="s">
        <v>21</v>
      </c>
      <c r="P38" s="1"/>
      <c r="Q38" s="1" t="s">
        <v>29</v>
      </c>
    </row>
    <row r="39" spans="1:17" x14ac:dyDescent="0.25">
      <c r="A39" s="1" t="s">
        <v>236</v>
      </c>
      <c r="B39" s="1" t="s">
        <v>237</v>
      </c>
      <c r="C39" s="1" t="s">
        <v>238</v>
      </c>
      <c r="D39" s="1" t="s">
        <v>239</v>
      </c>
      <c r="E39" s="1" t="s">
        <v>231</v>
      </c>
      <c r="F39" s="1" t="s">
        <v>211</v>
      </c>
      <c r="G39" s="1"/>
      <c r="H39" s="1"/>
      <c r="I39" s="1">
        <f t="shared" si="0"/>
        <v>301</v>
      </c>
      <c r="J39" s="1">
        <f t="shared" si="1"/>
        <v>9</v>
      </c>
      <c r="K39" s="1"/>
      <c r="L39" s="2">
        <v>0</v>
      </c>
      <c r="M39" s="2">
        <v>0</v>
      </c>
      <c r="N39" s="2">
        <v>394</v>
      </c>
      <c r="O39" s="1" t="s">
        <v>21</v>
      </c>
      <c r="P39" s="1"/>
      <c r="Q39" s="1" t="s">
        <v>29</v>
      </c>
    </row>
    <row r="40" spans="1:17" x14ac:dyDescent="0.25">
      <c r="A40" s="1" t="s">
        <v>240</v>
      </c>
      <c r="B40" s="1" t="s">
        <v>241</v>
      </c>
      <c r="C40" s="1" t="s">
        <v>242</v>
      </c>
      <c r="D40" s="1" t="s">
        <v>243</v>
      </c>
      <c r="E40" s="1" t="s">
        <v>244</v>
      </c>
      <c r="F40" s="1" t="s">
        <v>211</v>
      </c>
      <c r="G40" s="1"/>
      <c r="H40" s="1"/>
      <c r="I40" s="1">
        <f t="shared" si="0"/>
        <v>301</v>
      </c>
      <c r="J40" s="1">
        <f t="shared" si="1"/>
        <v>9</v>
      </c>
      <c r="K40" s="1"/>
      <c r="L40" s="2">
        <v>0.3</v>
      </c>
      <c r="M40" s="2">
        <v>1</v>
      </c>
      <c r="N40" s="2">
        <v>394</v>
      </c>
      <c r="O40" s="1" t="s">
        <v>21</v>
      </c>
      <c r="P40" s="1"/>
      <c r="Q40" s="1" t="s">
        <v>29</v>
      </c>
    </row>
    <row r="41" spans="1:17" x14ac:dyDescent="0.25">
      <c r="A41" s="1" t="s">
        <v>245</v>
      </c>
      <c r="B41" s="1" t="s">
        <v>246</v>
      </c>
      <c r="C41" s="1" t="s">
        <v>247</v>
      </c>
      <c r="D41" s="1" t="s">
        <v>248</v>
      </c>
      <c r="E41" s="1" t="s">
        <v>249</v>
      </c>
      <c r="F41" s="1" t="s">
        <v>211</v>
      </c>
      <c r="G41" s="1"/>
      <c r="H41" s="1"/>
      <c r="I41" s="1">
        <f t="shared" si="0"/>
        <v>301</v>
      </c>
      <c r="J41" s="1">
        <f t="shared" si="1"/>
        <v>9</v>
      </c>
      <c r="K41" s="1"/>
      <c r="L41" s="2">
        <v>0</v>
      </c>
      <c r="M41" s="2">
        <v>0</v>
      </c>
      <c r="N41" s="2">
        <v>394</v>
      </c>
      <c r="O41" s="1" t="s">
        <v>21</v>
      </c>
      <c r="P41" s="1"/>
      <c r="Q41" s="1" t="s">
        <v>29</v>
      </c>
    </row>
    <row r="42" spans="1:17" x14ac:dyDescent="0.25">
      <c r="A42" s="1" t="s">
        <v>66</v>
      </c>
      <c r="B42" s="1" t="s">
        <v>250</v>
      </c>
      <c r="C42" s="1" t="s">
        <v>251</v>
      </c>
      <c r="D42" s="1" t="s">
        <v>252</v>
      </c>
      <c r="E42" s="1" t="s">
        <v>253</v>
      </c>
      <c r="F42" s="1" t="s">
        <v>211</v>
      </c>
      <c r="G42" s="1"/>
      <c r="H42" s="1"/>
      <c r="I42" s="1">
        <f t="shared" si="0"/>
        <v>301</v>
      </c>
      <c r="J42" s="1">
        <f t="shared" si="1"/>
        <v>9</v>
      </c>
      <c r="K42" s="1"/>
      <c r="L42" s="2">
        <v>0.3</v>
      </c>
      <c r="M42" s="2">
        <v>1</v>
      </c>
      <c r="N42" s="2">
        <v>394</v>
      </c>
      <c r="O42" s="1" t="s">
        <v>21</v>
      </c>
      <c r="P42" s="1"/>
      <c r="Q42" s="1" t="s">
        <v>29</v>
      </c>
    </row>
    <row r="43" spans="1:17" x14ac:dyDescent="0.25">
      <c r="A43" s="1" t="s">
        <v>254</v>
      </c>
      <c r="B43" s="1" t="s">
        <v>255</v>
      </c>
      <c r="C43" s="1" t="s">
        <v>256</v>
      </c>
      <c r="D43" s="1" t="s">
        <v>257</v>
      </c>
      <c r="E43" s="1" t="s">
        <v>258</v>
      </c>
      <c r="F43" s="1" t="s">
        <v>259</v>
      </c>
      <c r="G43" s="1"/>
      <c r="H43" s="1"/>
      <c r="I43" s="1">
        <f t="shared" si="0"/>
        <v>19</v>
      </c>
      <c r="J43" s="1">
        <f t="shared" si="1"/>
        <v>0</v>
      </c>
      <c r="K43" s="1"/>
      <c r="L43" s="2">
        <v>0</v>
      </c>
      <c r="M43" s="2">
        <v>0</v>
      </c>
      <c r="N43" s="2">
        <v>394</v>
      </c>
      <c r="O43" s="1" t="s">
        <v>21</v>
      </c>
      <c r="P43" s="1"/>
      <c r="Q43" s="1" t="s">
        <v>29</v>
      </c>
    </row>
    <row r="44" spans="1:17" x14ac:dyDescent="0.25">
      <c r="A44" s="1" t="s">
        <v>260</v>
      </c>
      <c r="B44" s="1" t="s">
        <v>261</v>
      </c>
      <c r="C44" s="1" t="s">
        <v>262</v>
      </c>
      <c r="D44" s="1" t="s">
        <v>263</v>
      </c>
      <c r="E44" s="1" t="s">
        <v>264</v>
      </c>
      <c r="F44" s="1" t="s">
        <v>265</v>
      </c>
      <c r="G44" s="1"/>
      <c r="H44" s="1"/>
      <c r="I44" s="1">
        <f t="shared" si="0"/>
        <v>271</v>
      </c>
      <c r="J44" s="1">
        <f t="shared" si="1"/>
        <v>8</v>
      </c>
      <c r="K44" s="1"/>
      <c r="L44" s="2">
        <v>4.8</v>
      </c>
      <c r="M44" s="2">
        <v>19</v>
      </c>
      <c r="N44" s="2">
        <v>394</v>
      </c>
      <c r="O44" s="1" t="s">
        <v>21</v>
      </c>
      <c r="P44" s="1"/>
      <c r="Q44" s="1" t="s">
        <v>29</v>
      </c>
    </row>
    <row r="45" spans="1:17" x14ac:dyDescent="0.25">
      <c r="A45" s="1" t="s">
        <v>266</v>
      </c>
      <c r="B45" s="1" t="s">
        <v>267</v>
      </c>
      <c r="C45" s="1" t="s">
        <v>268</v>
      </c>
      <c r="D45" s="1" t="s">
        <v>269</v>
      </c>
      <c r="E45" s="1" t="s">
        <v>264</v>
      </c>
      <c r="F45" s="1" t="s">
        <v>270</v>
      </c>
      <c r="G45" s="1"/>
      <c r="H45" s="1"/>
      <c r="I45" s="1">
        <f t="shared" si="0"/>
        <v>19</v>
      </c>
      <c r="J45" s="1">
        <f t="shared" si="1"/>
        <v>0</v>
      </c>
      <c r="K45" s="1"/>
      <c r="L45" s="2">
        <v>0</v>
      </c>
      <c r="M45" s="2">
        <v>0</v>
      </c>
      <c r="N45" s="2">
        <v>394</v>
      </c>
      <c r="O45" s="1" t="s">
        <v>21</v>
      </c>
      <c r="P45" s="1"/>
      <c r="Q45" s="1" t="s">
        <v>29</v>
      </c>
    </row>
    <row r="46" spans="1:17" x14ac:dyDescent="0.25">
      <c r="A46" s="1" t="s">
        <v>271</v>
      </c>
      <c r="B46" s="1" t="s">
        <v>272</v>
      </c>
      <c r="C46" s="1" t="s">
        <v>273</v>
      </c>
      <c r="D46" s="1" t="s">
        <v>274</v>
      </c>
      <c r="E46" s="1" t="s">
        <v>264</v>
      </c>
      <c r="F46" s="1" t="s">
        <v>217</v>
      </c>
      <c r="G46" s="1"/>
      <c r="H46" s="1"/>
      <c r="I46" s="1">
        <f t="shared" si="0"/>
        <v>301</v>
      </c>
      <c r="J46" s="1">
        <f t="shared" si="1"/>
        <v>9</v>
      </c>
      <c r="K46" s="1"/>
      <c r="L46" s="2">
        <v>3.3</v>
      </c>
      <c r="M46" s="2">
        <v>13</v>
      </c>
      <c r="N46" s="2">
        <v>394</v>
      </c>
      <c r="O46" s="1" t="s">
        <v>21</v>
      </c>
      <c r="P46" s="1"/>
      <c r="Q46" s="1" t="s">
        <v>29</v>
      </c>
    </row>
    <row r="47" spans="1:17" x14ac:dyDescent="0.25">
      <c r="A47" s="1" t="s">
        <v>275</v>
      </c>
      <c r="B47" s="1" t="s">
        <v>276</v>
      </c>
      <c r="C47" s="1" t="s">
        <v>277</v>
      </c>
      <c r="D47" s="1" t="s">
        <v>278</v>
      </c>
      <c r="E47" s="1" t="s">
        <v>279</v>
      </c>
      <c r="F47" s="1" t="s">
        <v>280</v>
      </c>
      <c r="G47" s="1"/>
      <c r="H47" s="1"/>
      <c r="I47" s="1">
        <f t="shared" si="0"/>
        <v>287</v>
      </c>
      <c r="J47" s="1">
        <f t="shared" si="1"/>
        <v>9</v>
      </c>
      <c r="K47" s="1"/>
      <c r="L47" s="2">
        <v>86.8</v>
      </c>
      <c r="M47" s="2">
        <v>342</v>
      </c>
      <c r="N47" s="2">
        <v>394</v>
      </c>
      <c r="O47" s="1" t="s">
        <v>21</v>
      </c>
      <c r="P47" s="1"/>
      <c r="Q47" s="1" t="s">
        <v>29</v>
      </c>
    </row>
    <row r="48" spans="1:17" x14ac:dyDescent="0.25">
      <c r="A48" s="1" t="s">
        <v>281</v>
      </c>
      <c r="B48" s="1" t="s">
        <v>282</v>
      </c>
      <c r="C48" s="1" t="s">
        <v>283</v>
      </c>
      <c r="D48" s="1" t="s">
        <v>284</v>
      </c>
      <c r="E48" s="1" t="s">
        <v>279</v>
      </c>
      <c r="F48" s="1" t="s">
        <v>285</v>
      </c>
      <c r="G48" s="1"/>
      <c r="H48" s="1"/>
      <c r="I48" s="1">
        <f t="shared" si="0"/>
        <v>23</v>
      </c>
      <c r="J48" s="1">
        <f t="shared" si="1"/>
        <v>0</v>
      </c>
      <c r="K48" s="1"/>
      <c r="L48" s="2">
        <v>0</v>
      </c>
      <c r="M48" s="2">
        <v>0</v>
      </c>
      <c r="N48" s="2">
        <v>394</v>
      </c>
      <c r="O48" s="1" t="s">
        <v>21</v>
      </c>
      <c r="P48" s="1"/>
      <c r="Q48" s="1" t="s">
        <v>29</v>
      </c>
    </row>
    <row r="49" spans="1:17" x14ac:dyDescent="0.25">
      <c r="A49" s="1" t="s">
        <v>286</v>
      </c>
      <c r="B49" s="1" t="s">
        <v>287</v>
      </c>
      <c r="C49" s="1" t="s">
        <v>288</v>
      </c>
      <c r="D49" s="1" t="s">
        <v>289</v>
      </c>
      <c r="E49" s="1" t="s">
        <v>279</v>
      </c>
      <c r="F49" s="1" t="s">
        <v>290</v>
      </c>
      <c r="G49" s="1"/>
      <c r="H49" s="1"/>
      <c r="I49" s="1">
        <f t="shared" si="0"/>
        <v>295</v>
      </c>
      <c r="J49" s="1">
        <f t="shared" si="1"/>
        <v>9</v>
      </c>
      <c r="K49" s="1"/>
      <c r="L49" s="2">
        <v>0</v>
      </c>
      <c r="M49" s="2">
        <v>0</v>
      </c>
      <c r="N49" s="2">
        <v>394</v>
      </c>
      <c r="O49" s="1" t="s">
        <v>21</v>
      </c>
      <c r="P49" s="1"/>
      <c r="Q49" s="1" t="s">
        <v>29</v>
      </c>
    </row>
    <row r="50" spans="1:17" x14ac:dyDescent="0.25">
      <c r="A50" s="1" t="s">
        <v>291</v>
      </c>
      <c r="B50" s="1" t="s">
        <v>292</v>
      </c>
      <c r="C50" s="1" t="s">
        <v>293</v>
      </c>
      <c r="D50" s="1" t="s">
        <v>294</v>
      </c>
      <c r="E50" s="1" t="s">
        <v>295</v>
      </c>
      <c r="F50" s="1" t="s">
        <v>296</v>
      </c>
      <c r="G50" s="1"/>
      <c r="H50" s="1"/>
      <c r="I50" s="1">
        <f t="shared" si="0"/>
        <v>286</v>
      </c>
      <c r="J50" s="1">
        <f t="shared" si="1"/>
        <v>9</v>
      </c>
      <c r="K50" s="1"/>
      <c r="L50" s="2">
        <v>7.9</v>
      </c>
      <c r="M50" s="2">
        <v>31</v>
      </c>
      <c r="N50" s="2">
        <v>394</v>
      </c>
      <c r="O50" s="1" t="s">
        <v>21</v>
      </c>
      <c r="P50" s="1"/>
      <c r="Q50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126"/>
  <sheetViews>
    <sheetView tabSelected="1" topLeftCell="A73" workbookViewId="0">
      <selection activeCell="A69" sqref="A69:XFD69"/>
    </sheetView>
  </sheetViews>
  <sheetFormatPr defaultColWidth="12.6640625" defaultRowHeight="15.75" customHeight="1" x14ac:dyDescent="0.25"/>
  <cols>
    <col min="5" max="5" width="16.88671875" customWidth="1"/>
    <col min="6" max="6" width="17.6640625" customWidth="1"/>
    <col min="7" max="7" width="23.6640625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297</v>
      </c>
      <c r="I1" s="3" t="s">
        <v>298</v>
      </c>
      <c r="J1" s="3"/>
      <c r="K1" s="3" t="s">
        <v>299</v>
      </c>
      <c r="L1" s="3" t="s">
        <v>300</v>
      </c>
      <c r="M1" s="3"/>
      <c r="N1" s="3"/>
      <c r="O1" s="3"/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</row>
    <row r="2" spans="1:21" x14ac:dyDescent="0.25">
      <c r="A2" s="3" t="s">
        <v>301</v>
      </c>
      <c r="B2" s="3" t="s">
        <v>302</v>
      </c>
      <c r="C2" s="3" t="s">
        <v>303</v>
      </c>
      <c r="D2" s="3" t="s">
        <v>304</v>
      </c>
      <c r="E2" s="3" t="s">
        <v>305</v>
      </c>
      <c r="F2" s="3" t="s">
        <v>306</v>
      </c>
      <c r="G2" s="3" t="e">
        <f t="shared" ref="G2:G3" ca="1" si="0">_xludf.SWITCH(L2,
 1, "68d14982863c4aa13942378d",
 3, "68d14ab6863c4aa139423899",
 6, "68d14ab6863c4aa13942389b",
 12, "68d14ab6863c4aa13942389d",
 "Unknown")</f>
        <v>#NAME?</v>
      </c>
      <c r="H2" s="3" t="e">
        <f t="shared" ref="H2:H3" ca="1" si="1">_xludf.SWITCH(L2,
 1, 1,
 3, 3,
 6, 6,
 12, 1,
 "Unknown")</f>
        <v>#NAME?</v>
      </c>
      <c r="I2" s="3" t="e">
        <f ca="1">_xludf.SWITCH(L2,
 1, "month",
 3, "month",
 6, "month",
 12, "year",
 "Unknown")</f>
        <v>#NAME?</v>
      </c>
      <c r="J2" s="3"/>
      <c r="K2" s="3">
        <f t="shared" ref="K2:K13" si="2">DATEDIF(
  DATEVALUE(MID(E2,1,10)) + TIMEVALUE(MID(E2,12,8)),
  DATEVALUE(MID(F2,1,10)) + TIMEVALUE(MID(F2,12,8)),
  "d"
)</f>
        <v>31</v>
      </c>
      <c r="L2" s="3">
        <f t="shared" ref="L2:L124" si="3">DATEDIF(
  DATEVALUE(MID(E2,1,10)) + TIMEVALUE(MID(E2,12,8)),
  DATEVALUE(MID(F2,1,10)) + TIMEVALUE(MID(F2,12,8)),
  "m"
)</f>
        <v>1</v>
      </c>
      <c r="M2" s="3"/>
      <c r="N2" s="3"/>
      <c r="O2" s="3"/>
      <c r="P2" s="3">
        <v>0</v>
      </c>
      <c r="Q2" s="3">
        <v>0</v>
      </c>
      <c r="R2" s="3">
        <v>394</v>
      </c>
      <c r="S2" s="3" t="s">
        <v>21</v>
      </c>
      <c r="U2" s="3" t="s">
        <v>29</v>
      </c>
    </row>
    <row r="3" spans="1:21" x14ac:dyDescent="0.25">
      <c r="A3" s="3" t="s">
        <v>307</v>
      </c>
      <c r="B3" s="3" t="s">
        <v>308</v>
      </c>
      <c r="C3" s="3" t="s">
        <v>309</v>
      </c>
      <c r="D3" s="3" t="s">
        <v>310</v>
      </c>
      <c r="E3" s="3" t="s">
        <v>311</v>
      </c>
      <c r="F3" s="3" t="s">
        <v>312</v>
      </c>
      <c r="G3" s="3" t="e">
        <f t="shared" ca="1" si="0"/>
        <v>#NAME?</v>
      </c>
      <c r="H3" s="3" t="e">
        <f t="shared" ca="1" si="1"/>
        <v>#NAME?</v>
      </c>
      <c r="I3" s="3" t="e">
        <f ca="1">_xludf.SWITCH(L3,
 1, "month",
 3, "months",
 6, "months",
 12, "year",
 "Unknown")</f>
        <v>#NAME?</v>
      </c>
      <c r="J3" s="3"/>
      <c r="K3" s="3">
        <f t="shared" si="2"/>
        <v>31</v>
      </c>
      <c r="L3" s="3">
        <f t="shared" si="3"/>
        <v>1</v>
      </c>
      <c r="M3" s="3"/>
      <c r="N3" s="3"/>
      <c r="O3" s="3"/>
      <c r="P3" s="3">
        <v>1.5</v>
      </c>
      <c r="Q3" s="3">
        <v>6</v>
      </c>
      <c r="R3" s="3">
        <v>394</v>
      </c>
      <c r="S3" s="3" t="s">
        <v>21</v>
      </c>
      <c r="U3" s="3" t="s">
        <v>29</v>
      </c>
    </row>
    <row r="4" spans="1:21" x14ac:dyDescent="0.25">
      <c r="A4" s="3" t="s">
        <v>23</v>
      </c>
      <c r="B4" s="3" t="s">
        <v>24</v>
      </c>
      <c r="C4" s="3" t="s">
        <v>25</v>
      </c>
      <c r="D4" s="3" t="s">
        <v>26</v>
      </c>
      <c r="E4" s="3" t="s">
        <v>313</v>
      </c>
      <c r="F4" s="3" t="s">
        <v>314</v>
      </c>
      <c r="G4" s="3" t="s">
        <v>315</v>
      </c>
      <c r="H4" s="3">
        <v>3</v>
      </c>
      <c r="I4" s="3" t="e">
        <f ca="1">_xludf.SWITCH(L3,
 1, "month",
 3, "months",
 6, "months",
 12, "year",
 "Unknown")</f>
        <v>#NAME?</v>
      </c>
      <c r="J4" s="3"/>
      <c r="K4" s="3">
        <f t="shared" si="2"/>
        <v>63</v>
      </c>
      <c r="L4" s="3">
        <f t="shared" si="3"/>
        <v>2</v>
      </c>
      <c r="M4" s="3"/>
      <c r="N4" s="3"/>
      <c r="O4" s="3"/>
      <c r="P4" s="3">
        <v>49.2</v>
      </c>
      <c r="Q4" s="3">
        <v>194</v>
      </c>
      <c r="R4" s="3">
        <v>394</v>
      </c>
      <c r="S4" s="3" t="s">
        <v>21</v>
      </c>
      <c r="U4" s="3" t="s">
        <v>29</v>
      </c>
    </row>
    <row r="5" spans="1:21" x14ac:dyDescent="0.25">
      <c r="A5" s="3" t="s">
        <v>316</v>
      </c>
      <c r="B5" s="3" t="s">
        <v>317</v>
      </c>
      <c r="C5" s="3" t="s">
        <v>318</v>
      </c>
      <c r="D5" s="3" t="s">
        <v>319</v>
      </c>
      <c r="E5" s="3" t="s">
        <v>320</v>
      </c>
      <c r="F5" s="3" t="s">
        <v>321</v>
      </c>
      <c r="G5" s="3" t="e">
        <f t="shared" ref="G5:G13" ca="1" si="4">_xludf.SWITCH(L5,
 1, "68d14982863c4aa13942378d",
 3, "68d14ab6863c4aa139423899",
 6, "68d14ab6863c4aa13942389b",
 12, "68d14ab6863c4aa13942389d",
 "Unknown")</f>
        <v>#NAME?</v>
      </c>
      <c r="H5" s="3" t="e">
        <f t="shared" ref="H5:H13" ca="1" si="5">_xludf.SWITCH(L5,
 1, 1,
 3, 3,
 6, 6,
 12, 1,
 "Unknown")</f>
        <v>#NAME?</v>
      </c>
      <c r="I5" s="3" t="e">
        <f t="shared" ref="I5:I13" ca="1" si="6">_xludf.SWITCH(L5,
 1, "month",
 3, "month",
 6, "month",
 12, "year",
 "Unknown")</f>
        <v>#NAME?</v>
      </c>
      <c r="J5" s="3"/>
      <c r="K5" s="3">
        <f t="shared" si="2"/>
        <v>31</v>
      </c>
      <c r="L5" s="3">
        <f t="shared" si="3"/>
        <v>1</v>
      </c>
      <c r="M5" s="3"/>
      <c r="N5" s="3"/>
      <c r="O5" s="3"/>
      <c r="P5" s="3">
        <v>7.6</v>
      </c>
      <c r="Q5" s="3">
        <v>30</v>
      </c>
      <c r="R5" s="3">
        <v>394</v>
      </c>
      <c r="S5" s="3" t="s">
        <v>21</v>
      </c>
      <c r="U5" s="3" t="s">
        <v>29</v>
      </c>
    </row>
    <row r="6" spans="1:21" x14ac:dyDescent="0.25">
      <c r="A6" s="3" t="s">
        <v>322</v>
      </c>
      <c r="B6" s="3" t="s">
        <v>323</v>
      </c>
      <c r="C6" s="3" t="s">
        <v>324</v>
      </c>
      <c r="D6" s="3" t="s">
        <v>325</v>
      </c>
      <c r="E6" s="3" t="s">
        <v>326</v>
      </c>
      <c r="F6" s="3" t="s">
        <v>327</v>
      </c>
      <c r="G6" s="3" t="e">
        <f t="shared" ca="1" si="4"/>
        <v>#NAME?</v>
      </c>
      <c r="H6" s="3" t="e">
        <f t="shared" ca="1" si="5"/>
        <v>#NAME?</v>
      </c>
      <c r="I6" s="3" t="e">
        <f t="shared" ca="1" si="6"/>
        <v>#NAME?</v>
      </c>
      <c r="J6" s="3"/>
      <c r="K6" s="3">
        <f t="shared" si="2"/>
        <v>365</v>
      </c>
      <c r="L6" s="3">
        <f t="shared" si="3"/>
        <v>12</v>
      </c>
      <c r="M6" s="3"/>
      <c r="N6" s="3"/>
      <c r="O6" s="3"/>
      <c r="P6" s="3">
        <v>18</v>
      </c>
      <c r="Q6" s="3">
        <v>71</v>
      </c>
      <c r="R6" s="3">
        <v>394</v>
      </c>
      <c r="S6" s="3" t="s">
        <v>21</v>
      </c>
      <c r="U6" s="3" t="s">
        <v>29</v>
      </c>
    </row>
    <row r="7" spans="1:21" x14ac:dyDescent="0.25">
      <c r="A7" s="3" t="s">
        <v>15</v>
      </c>
      <c r="B7" s="3" t="s">
        <v>16</v>
      </c>
      <c r="C7" s="3" t="s">
        <v>17</v>
      </c>
      <c r="D7" s="3" t="s">
        <v>18</v>
      </c>
      <c r="E7" s="3" t="s">
        <v>328</v>
      </c>
      <c r="F7" s="3" t="s">
        <v>329</v>
      </c>
      <c r="G7" s="3" t="e">
        <f t="shared" ca="1" si="4"/>
        <v>#NAME?</v>
      </c>
      <c r="H7" s="3" t="e">
        <f t="shared" ca="1" si="5"/>
        <v>#NAME?</v>
      </c>
      <c r="I7" s="3" t="e">
        <f t="shared" ca="1" si="6"/>
        <v>#NAME?</v>
      </c>
      <c r="J7" s="3"/>
      <c r="K7" s="3">
        <f t="shared" si="2"/>
        <v>365</v>
      </c>
      <c r="L7" s="3">
        <f t="shared" si="3"/>
        <v>12</v>
      </c>
      <c r="M7" s="3"/>
      <c r="N7" s="3"/>
      <c r="O7" s="3"/>
      <c r="P7" s="3">
        <v>5.3</v>
      </c>
      <c r="Q7" s="3">
        <v>21</v>
      </c>
      <c r="R7" s="3">
        <v>394</v>
      </c>
      <c r="S7" s="3" t="s">
        <v>21</v>
      </c>
      <c r="U7" s="3" t="s">
        <v>29</v>
      </c>
    </row>
    <row r="8" spans="1:21" x14ac:dyDescent="0.25">
      <c r="A8" s="3" t="s">
        <v>330</v>
      </c>
      <c r="B8" s="3" t="s">
        <v>331</v>
      </c>
      <c r="C8" s="3" t="s">
        <v>332</v>
      </c>
      <c r="D8" s="3" t="s">
        <v>333</v>
      </c>
      <c r="E8" s="3" t="s">
        <v>334</v>
      </c>
      <c r="F8" s="3" t="s">
        <v>335</v>
      </c>
      <c r="G8" s="3" t="e">
        <f t="shared" ca="1" si="4"/>
        <v>#NAME?</v>
      </c>
      <c r="H8" s="3" t="e">
        <f t="shared" ca="1" si="5"/>
        <v>#NAME?</v>
      </c>
      <c r="I8" s="3" t="e">
        <f t="shared" ca="1" si="6"/>
        <v>#NAME?</v>
      </c>
      <c r="J8" s="3"/>
      <c r="K8" s="3">
        <f t="shared" si="2"/>
        <v>365</v>
      </c>
      <c r="L8" s="3">
        <f t="shared" si="3"/>
        <v>12</v>
      </c>
      <c r="M8" s="3"/>
      <c r="N8" s="3"/>
      <c r="O8" s="3"/>
      <c r="P8" s="3">
        <v>3.3</v>
      </c>
      <c r="Q8" s="3">
        <v>13</v>
      </c>
      <c r="R8" s="3">
        <v>394</v>
      </c>
      <c r="S8" s="3" t="s">
        <v>21</v>
      </c>
      <c r="U8" s="3" t="s">
        <v>29</v>
      </c>
    </row>
    <row r="9" spans="1:21" x14ac:dyDescent="0.25">
      <c r="A9" s="3" t="s">
        <v>336</v>
      </c>
      <c r="B9" s="3" t="s">
        <v>337</v>
      </c>
      <c r="C9" s="3" t="s">
        <v>338</v>
      </c>
      <c r="D9" s="3" t="s">
        <v>339</v>
      </c>
      <c r="E9" s="3" t="s">
        <v>340</v>
      </c>
      <c r="F9" s="3" t="s">
        <v>341</v>
      </c>
      <c r="G9" s="3" t="e">
        <f t="shared" ca="1" si="4"/>
        <v>#NAME?</v>
      </c>
      <c r="H9" s="3" t="e">
        <f t="shared" ca="1" si="5"/>
        <v>#NAME?</v>
      </c>
      <c r="I9" s="3" t="e">
        <f t="shared" ca="1" si="6"/>
        <v>#NAME?</v>
      </c>
      <c r="J9" s="3"/>
      <c r="K9" s="3">
        <f t="shared" si="2"/>
        <v>366</v>
      </c>
      <c r="L9" s="3">
        <f t="shared" si="3"/>
        <v>12</v>
      </c>
      <c r="M9" s="3"/>
      <c r="N9" s="3"/>
      <c r="O9" s="3"/>
      <c r="P9" s="3">
        <v>6.9</v>
      </c>
      <c r="Q9" s="3">
        <v>27</v>
      </c>
      <c r="R9" s="3">
        <v>394</v>
      </c>
      <c r="S9" s="3" t="s">
        <v>21</v>
      </c>
      <c r="U9" s="3" t="s">
        <v>29</v>
      </c>
    </row>
    <row r="10" spans="1:21" x14ac:dyDescent="0.25">
      <c r="A10" s="3" t="s">
        <v>342</v>
      </c>
      <c r="B10" s="3" t="s">
        <v>343</v>
      </c>
      <c r="C10" s="3" t="s">
        <v>344</v>
      </c>
      <c r="D10" s="3" t="s">
        <v>345</v>
      </c>
      <c r="E10" s="3" t="s">
        <v>346</v>
      </c>
      <c r="F10" s="3" t="s">
        <v>347</v>
      </c>
      <c r="G10" s="3" t="e">
        <f t="shared" ca="1" si="4"/>
        <v>#NAME?</v>
      </c>
      <c r="H10" s="3" t="e">
        <f t="shared" ca="1" si="5"/>
        <v>#NAME?</v>
      </c>
      <c r="I10" s="3" t="e">
        <f t="shared" ca="1" si="6"/>
        <v>#NAME?</v>
      </c>
      <c r="J10" s="3"/>
      <c r="K10" s="3">
        <f t="shared" si="2"/>
        <v>366</v>
      </c>
      <c r="L10" s="3">
        <f t="shared" si="3"/>
        <v>12</v>
      </c>
      <c r="M10" s="3"/>
      <c r="N10" s="3"/>
      <c r="O10" s="3"/>
      <c r="P10" s="3">
        <v>22.1</v>
      </c>
      <c r="Q10" s="3">
        <v>87</v>
      </c>
      <c r="R10" s="3">
        <v>394</v>
      </c>
      <c r="S10" s="3" t="s">
        <v>21</v>
      </c>
      <c r="U10" s="3" t="s">
        <v>29</v>
      </c>
    </row>
    <row r="11" spans="1:21" x14ac:dyDescent="0.25">
      <c r="A11" s="3" t="s">
        <v>348</v>
      </c>
      <c r="B11" s="3" t="s">
        <v>349</v>
      </c>
      <c r="C11" s="3" t="s">
        <v>350</v>
      </c>
      <c r="D11" s="3" t="s">
        <v>351</v>
      </c>
      <c r="E11" s="3" t="s">
        <v>352</v>
      </c>
      <c r="F11" s="3" t="s">
        <v>353</v>
      </c>
      <c r="G11" s="3" t="e">
        <f t="shared" ca="1" si="4"/>
        <v>#NAME?</v>
      </c>
      <c r="H11" s="3" t="e">
        <f t="shared" ca="1" si="5"/>
        <v>#NAME?</v>
      </c>
      <c r="I11" s="3" t="e">
        <f t="shared" ca="1" si="6"/>
        <v>#NAME?</v>
      </c>
      <c r="J11" s="3"/>
      <c r="K11" s="3">
        <f t="shared" si="2"/>
        <v>365</v>
      </c>
      <c r="L11" s="3">
        <f t="shared" si="3"/>
        <v>12</v>
      </c>
      <c r="M11" s="3"/>
      <c r="N11" s="3"/>
      <c r="O11" s="3"/>
      <c r="P11" s="3">
        <v>5.0999999999999996</v>
      </c>
      <c r="Q11" s="3">
        <v>20</v>
      </c>
      <c r="R11" s="3">
        <v>394</v>
      </c>
      <c r="S11" s="3" t="s">
        <v>21</v>
      </c>
      <c r="U11" s="3" t="s">
        <v>29</v>
      </c>
    </row>
    <row r="12" spans="1:21" x14ac:dyDescent="0.25">
      <c r="A12" s="3" t="s">
        <v>354</v>
      </c>
      <c r="B12" s="3" t="s">
        <v>355</v>
      </c>
      <c r="C12" s="3" t="s">
        <v>356</v>
      </c>
      <c r="D12" s="3" t="s">
        <v>357</v>
      </c>
      <c r="E12" s="3" t="s">
        <v>358</v>
      </c>
      <c r="F12" s="3" t="s">
        <v>359</v>
      </c>
      <c r="G12" s="3" t="e">
        <f t="shared" ca="1" si="4"/>
        <v>#NAME?</v>
      </c>
      <c r="H12" s="3" t="e">
        <f t="shared" ca="1" si="5"/>
        <v>#NAME?</v>
      </c>
      <c r="I12" s="3" t="e">
        <f t="shared" ca="1" si="6"/>
        <v>#NAME?</v>
      </c>
      <c r="J12" s="3"/>
      <c r="K12" s="3">
        <f t="shared" si="2"/>
        <v>365</v>
      </c>
      <c r="L12" s="3">
        <f t="shared" si="3"/>
        <v>12</v>
      </c>
      <c r="M12" s="3"/>
      <c r="N12" s="3"/>
      <c r="O12" s="3"/>
      <c r="P12" s="3">
        <v>0.5</v>
      </c>
      <c r="Q12" s="3">
        <v>2</v>
      </c>
      <c r="R12" s="3">
        <v>394</v>
      </c>
      <c r="S12" s="3" t="s">
        <v>21</v>
      </c>
      <c r="U12" s="3" t="s">
        <v>29</v>
      </c>
    </row>
    <row r="13" spans="1:21" x14ac:dyDescent="0.25">
      <c r="A13" s="3" t="s">
        <v>360</v>
      </c>
      <c r="B13" s="3" t="s">
        <v>361</v>
      </c>
      <c r="C13" s="3" t="s">
        <v>362</v>
      </c>
      <c r="D13" s="3" t="s">
        <v>363</v>
      </c>
      <c r="E13" s="3" t="s">
        <v>364</v>
      </c>
      <c r="F13" s="3" t="s">
        <v>365</v>
      </c>
      <c r="G13" s="3" t="e">
        <f t="shared" ca="1" si="4"/>
        <v>#NAME?</v>
      </c>
      <c r="H13" s="3" t="e">
        <f t="shared" ca="1" si="5"/>
        <v>#NAME?</v>
      </c>
      <c r="I13" s="3" t="e">
        <f t="shared" ca="1" si="6"/>
        <v>#NAME?</v>
      </c>
      <c r="J13" s="3"/>
      <c r="K13" s="3">
        <f t="shared" si="2"/>
        <v>365</v>
      </c>
      <c r="L13" s="3">
        <f t="shared" si="3"/>
        <v>12</v>
      </c>
      <c r="M13" s="3"/>
      <c r="N13" s="3"/>
      <c r="O13" s="3"/>
      <c r="P13" s="3">
        <v>0</v>
      </c>
      <c r="Q13" s="3">
        <v>0</v>
      </c>
      <c r="R13" s="3">
        <v>394</v>
      </c>
      <c r="S13" s="3" t="s">
        <v>21</v>
      </c>
      <c r="U13" s="3" t="s">
        <v>29</v>
      </c>
    </row>
    <row r="14" spans="1:21" x14ac:dyDescent="0.25">
      <c r="A14" s="3" t="s">
        <v>366</v>
      </c>
      <c r="B14" s="3" t="s">
        <v>367</v>
      </c>
      <c r="C14" s="3" t="s">
        <v>368</v>
      </c>
      <c r="D14" s="3" t="s">
        <v>369</v>
      </c>
      <c r="E14" s="3" t="s">
        <v>370</v>
      </c>
      <c r="F14" s="3" t="s">
        <v>371</v>
      </c>
      <c r="G14" s="3" t="s">
        <v>372</v>
      </c>
      <c r="H14" s="3">
        <v>1</v>
      </c>
      <c r="I14" s="3" t="s">
        <v>373</v>
      </c>
      <c r="J14" s="3"/>
      <c r="K14" s="3" t="s">
        <v>1029</v>
      </c>
      <c r="L14" s="3">
        <f t="shared" si="3"/>
        <v>13</v>
      </c>
      <c r="M14" s="3"/>
      <c r="N14" s="3"/>
      <c r="O14" s="3"/>
      <c r="P14" s="3">
        <v>6.6</v>
      </c>
      <c r="Q14" s="3">
        <v>26</v>
      </c>
      <c r="R14" s="3">
        <v>394</v>
      </c>
      <c r="S14" s="3" t="s">
        <v>21</v>
      </c>
      <c r="U14" s="3" t="s">
        <v>29</v>
      </c>
    </row>
    <row r="15" spans="1:21" x14ac:dyDescent="0.25">
      <c r="A15" s="3" t="s">
        <v>374</v>
      </c>
      <c r="B15" s="3" t="s">
        <v>375</v>
      </c>
      <c r="C15" s="3" t="s">
        <v>376</v>
      </c>
      <c r="D15" s="3" t="s">
        <v>377</v>
      </c>
      <c r="E15" s="3" t="s">
        <v>378</v>
      </c>
      <c r="F15" s="3" t="s">
        <v>379</v>
      </c>
      <c r="G15" s="3" t="e">
        <f t="shared" ref="G15:G68" ca="1" si="7">_xludf.SWITCH(L15,
 1, "68d14982863c4aa13942378d",
 3, "68d14ab6863c4aa139423899",
 6, "68d14ab6863c4aa13942389b",
 12, "68d14ab6863c4aa13942389d",
 "Unknown")</f>
        <v>#NAME?</v>
      </c>
      <c r="H15" s="3" t="e">
        <f t="shared" ref="H15:H68" ca="1" si="8">_xludf.SWITCH(L15,
 1, 1,
 3, 3,
 6, 6,
 12, 1,
 "Unknown")</f>
        <v>#NAME?</v>
      </c>
      <c r="I15" s="3" t="e">
        <f t="shared" ref="I15:I68" ca="1" si="9">_xludf.SWITCH(L15,
 1, "month",
 3, "month",
 6, "month",
 12, "year",
 "Unknown")</f>
        <v>#NAME?</v>
      </c>
      <c r="J15" s="3"/>
      <c r="K15" s="3">
        <f t="shared" ref="K15:K124" si="10">DATEDIF(
  DATEVALUE(MID(E15,1,10)) + TIMEVALUE(MID(E15,12,8)),
  DATEVALUE(MID(F15,1,10)) + TIMEVALUE(MID(F15,12,8)),
  "d"
)</f>
        <v>365</v>
      </c>
      <c r="L15" s="3">
        <f t="shared" si="3"/>
        <v>12</v>
      </c>
      <c r="M15" s="3"/>
      <c r="N15" s="3"/>
      <c r="O15" s="3"/>
      <c r="P15" s="3">
        <v>4.5999999999999996</v>
      </c>
      <c r="Q15" s="3">
        <v>18</v>
      </c>
      <c r="R15" s="3">
        <v>394</v>
      </c>
      <c r="S15" s="3" t="s">
        <v>21</v>
      </c>
      <c r="U15" s="3" t="s">
        <v>29</v>
      </c>
    </row>
    <row r="16" spans="1:21" x14ac:dyDescent="0.25">
      <c r="A16" s="3" t="s">
        <v>380</v>
      </c>
      <c r="B16" s="3" t="s">
        <v>381</v>
      </c>
      <c r="C16" s="3" t="s">
        <v>382</v>
      </c>
      <c r="D16" s="3" t="s">
        <v>383</v>
      </c>
      <c r="E16" s="3" t="s">
        <v>384</v>
      </c>
      <c r="F16" s="3" t="s">
        <v>385</v>
      </c>
      <c r="G16" s="3" t="e">
        <f t="shared" ca="1" si="7"/>
        <v>#NAME?</v>
      </c>
      <c r="H16" s="3" t="e">
        <f t="shared" ca="1" si="8"/>
        <v>#NAME?</v>
      </c>
      <c r="I16" s="3" t="e">
        <f t="shared" ca="1" si="9"/>
        <v>#NAME?</v>
      </c>
      <c r="J16" s="3"/>
      <c r="K16" s="3">
        <f t="shared" si="10"/>
        <v>365</v>
      </c>
      <c r="L16" s="3">
        <f t="shared" si="3"/>
        <v>12</v>
      </c>
      <c r="M16" s="3"/>
      <c r="N16" s="3"/>
      <c r="O16" s="3"/>
      <c r="P16" s="3">
        <v>3.8</v>
      </c>
      <c r="Q16" s="3">
        <v>15</v>
      </c>
      <c r="R16" s="3">
        <v>394</v>
      </c>
      <c r="S16" s="3" t="s">
        <v>21</v>
      </c>
      <c r="U16" s="3" t="s">
        <v>29</v>
      </c>
    </row>
    <row r="17" spans="1:21" x14ac:dyDescent="0.25">
      <c r="A17" s="3" t="s">
        <v>386</v>
      </c>
      <c r="B17" s="3" t="s">
        <v>387</v>
      </c>
      <c r="C17" s="3" t="s">
        <v>388</v>
      </c>
      <c r="D17" s="3" t="s">
        <v>389</v>
      </c>
      <c r="E17" s="3" t="s">
        <v>390</v>
      </c>
      <c r="F17" s="3" t="s">
        <v>391</v>
      </c>
      <c r="G17" s="3" t="e">
        <f t="shared" ca="1" si="7"/>
        <v>#NAME?</v>
      </c>
      <c r="H17" s="3" t="e">
        <f t="shared" ca="1" si="8"/>
        <v>#NAME?</v>
      </c>
      <c r="I17" s="3" t="e">
        <f t="shared" ca="1" si="9"/>
        <v>#NAME?</v>
      </c>
      <c r="J17" s="3"/>
      <c r="K17" s="3">
        <f t="shared" si="10"/>
        <v>365</v>
      </c>
      <c r="L17" s="3">
        <f t="shared" si="3"/>
        <v>12</v>
      </c>
      <c r="M17" s="3"/>
      <c r="N17" s="3"/>
      <c r="O17" s="3"/>
      <c r="P17" s="3">
        <v>2.5</v>
      </c>
      <c r="Q17" s="3">
        <v>10</v>
      </c>
      <c r="R17" s="3">
        <v>394</v>
      </c>
      <c r="S17" s="3" t="s">
        <v>21</v>
      </c>
      <c r="U17" s="3" t="s">
        <v>29</v>
      </c>
    </row>
    <row r="18" spans="1:21" x14ac:dyDescent="0.25">
      <c r="A18" s="3" t="s">
        <v>392</v>
      </c>
      <c r="B18" s="3" t="s">
        <v>393</v>
      </c>
      <c r="C18" s="3" t="s">
        <v>394</v>
      </c>
      <c r="D18" s="3" t="s">
        <v>395</v>
      </c>
      <c r="E18" s="3" t="s">
        <v>396</v>
      </c>
      <c r="F18" s="3" t="s">
        <v>397</v>
      </c>
      <c r="G18" s="3" t="e">
        <f t="shared" ca="1" si="7"/>
        <v>#NAME?</v>
      </c>
      <c r="H18" s="3" t="e">
        <f t="shared" ca="1" si="8"/>
        <v>#NAME?</v>
      </c>
      <c r="I18" s="3" t="e">
        <f t="shared" ca="1" si="9"/>
        <v>#NAME?</v>
      </c>
      <c r="J18" s="3"/>
      <c r="K18" s="3">
        <f t="shared" si="10"/>
        <v>365</v>
      </c>
      <c r="L18" s="3">
        <f t="shared" si="3"/>
        <v>12</v>
      </c>
      <c r="M18" s="3"/>
      <c r="N18" s="3"/>
      <c r="O18" s="3"/>
      <c r="P18" s="3">
        <v>1</v>
      </c>
      <c r="Q18" s="3">
        <v>4</v>
      </c>
      <c r="R18" s="3">
        <v>394</v>
      </c>
      <c r="S18" s="3" t="s">
        <v>21</v>
      </c>
      <c r="U18" s="3" t="s">
        <v>29</v>
      </c>
    </row>
    <row r="19" spans="1:21" x14ac:dyDescent="0.25">
      <c r="A19" s="3" t="s">
        <v>398</v>
      </c>
      <c r="B19" s="3" t="s">
        <v>399</v>
      </c>
      <c r="C19" s="3" t="s">
        <v>400</v>
      </c>
      <c r="D19" s="3" t="s">
        <v>401</v>
      </c>
      <c r="E19" s="3" t="s">
        <v>402</v>
      </c>
      <c r="F19" s="3" t="s">
        <v>403</v>
      </c>
      <c r="G19" s="3" t="e">
        <f t="shared" ca="1" si="7"/>
        <v>#NAME?</v>
      </c>
      <c r="H19" s="3" t="e">
        <f t="shared" ca="1" si="8"/>
        <v>#NAME?</v>
      </c>
      <c r="I19" s="3" t="e">
        <f t="shared" ca="1" si="9"/>
        <v>#NAME?</v>
      </c>
      <c r="J19" s="3"/>
      <c r="K19" s="3">
        <f t="shared" si="10"/>
        <v>365</v>
      </c>
      <c r="L19" s="3">
        <f t="shared" si="3"/>
        <v>12</v>
      </c>
      <c r="M19" s="3"/>
      <c r="N19" s="3"/>
      <c r="O19" s="3"/>
      <c r="P19" s="3">
        <v>1.5</v>
      </c>
      <c r="Q19" s="3">
        <v>6</v>
      </c>
      <c r="R19" s="3">
        <v>394</v>
      </c>
      <c r="S19" s="3" t="s">
        <v>21</v>
      </c>
      <c r="U19" s="3" t="s">
        <v>29</v>
      </c>
    </row>
    <row r="20" spans="1:21" x14ac:dyDescent="0.25">
      <c r="A20" s="3" t="s">
        <v>404</v>
      </c>
      <c r="B20" s="3" t="s">
        <v>405</v>
      </c>
      <c r="C20" s="3" t="s">
        <v>406</v>
      </c>
      <c r="D20" s="3" t="s">
        <v>407</v>
      </c>
      <c r="E20" s="3" t="s">
        <v>408</v>
      </c>
      <c r="F20" s="3" t="s">
        <v>409</v>
      </c>
      <c r="G20" s="3" t="e">
        <f t="shared" ca="1" si="7"/>
        <v>#NAME?</v>
      </c>
      <c r="H20" s="3" t="e">
        <f t="shared" ca="1" si="8"/>
        <v>#NAME?</v>
      </c>
      <c r="I20" s="3" t="e">
        <f t="shared" ca="1" si="9"/>
        <v>#NAME?</v>
      </c>
      <c r="J20" s="3"/>
      <c r="K20" s="3">
        <f t="shared" si="10"/>
        <v>365</v>
      </c>
      <c r="L20" s="3">
        <f t="shared" si="3"/>
        <v>12</v>
      </c>
      <c r="M20" s="3"/>
      <c r="N20" s="3"/>
      <c r="O20" s="3"/>
      <c r="P20" s="3">
        <v>23.4</v>
      </c>
      <c r="Q20" s="3">
        <v>92</v>
      </c>
      <c r="R20" s="3">
        <v>394</v>
      </c>
      <c r="S20" s="3" t="s">
        <v>21</v>
      </c>
      <c r="U20" s="3" t="s">
        <v>29</v>
      </c>
    </row>
    <row r="21" spans="1:21" x14ac:dyDescent="0.25">
      <c r="A21" s="3" t="s">
        <v>410</v>
      </c>
      <c r="B21" s="3" t="s">
        <v>411</v>
      </c>
      <c r="C21" s="3" t="s">
        <v>412</v>
      </c>
      <c r="D21" s="3" t="s">
        <v>413</v>
      </c>
      <c r="E21" s="3" t="s">
        <v>414</v>
      </c>
      <c r="F21" s="3" t="s">
        <v>415</v>
      </c>
      <c r="G21" s="3" t="e">
        <f t="shared" ca="1" si="7"/>
        <v>#NAME?</v>
      </c>
      <c r="H21" s="3" t="e">
        <f t="shared" ca="1" si="8"/>
        <v>#NAME?</v>
      </c>
      <c r="I21" s="3" t="e">
        <f t="shared" ca="1" si="9"/>
        <v>#NAME?</v>
      </c>
      <c r="J21" s="3"/>
      <c r="K21" s="3">
        <f t="shared" si="10"/>
        <v>365</v>
      </c>
      <c r="L21" s="3">
        <f t="shared" si="3"/>
        <v>12</v>
      </c>
      <c r="M21" s="3"/>
      <c r="N21" s="3"/>
      <c r="O21" s="3"/>
      <c r="P21" s="3">
        <v>8.6</v>
      </c>
      <c r="Q21" s="3">
        <v>34</v>
      </c>
      <c r="R21" s="3">
        <v>394</v>
      </c>
      <c r="S21" s="3" t="s">
        <v>21</v>
      </c>
      <c r="U21" s="3" t="s">
        <v>29</v>
      </c>
    </row>
    <row r="22" spans="1:21" x14ac:dyDescent="0.25">
      <c r="A22" s="3" t="s">
        <v>416</v>
      </c>
      <c r="B22" s="3" t="s">
        <v>417</v>
      </c>
      <c r="C22" s="3" t="s">
        <v>418</v>
      </c>
      <c r="D22" s="3" t="s">
        <v>419</v>
      </c>
      <c r="E22" s="3" t="s">
        <v>420</v>
      </c>
      <c r="F22" s="3" t="s">
        <v>421</v>
      </c>
      <c r="G22" s="3" t="e">
        <f t="shared" ca="1" si="7"/>
        <v>#NAME?</v>
      </c>
      <c r="H22" s="3" t="e">
        <f t="shared" ca="1" si="8"/>
        <v>#NAME?</v>
      </c>
      <c r="I22" s="3" t="e">
        <f t="shared" ca="1" si="9"/>
        <v>#NAME?</v>
      </c>
      <c r="J22" s="3"/>
      <c r="K22" s="3">
        <f t="shared" si="10"/>
        <v>365</v>
      </c>
      <c r="L22" s="3">
        <f t="shared" si="3"/>
        <v>12</v>
      </c>
      <c r="M22" s="3"/>
      <c r="N22" s="3"/>
      <c r="O22" s="3"/>
      <c r="P22" s="3">
        <v>0</v>
      </c>
      <c r="Q22" s="3">
        <v>0</v>
      </c>
      <c r="R22" s="3">
        <v>394</v>
      </c>
      <c r="S22" s="3" t="s">
        <v>21</v>
      </c>
      <c r="U22" s="3" t="s">
        <v>29</v>
      </c>
    </row>
    <row r="23" spans="1:21" x14ac:dyDescent="0.25">
      <c r="A23" s="3" t="s">
        <v>422</v>
      </c>
      <c r="B23" s="3" t="s">
        <v>423</v>
      </c>
      <c r="C23" s="3" t="s">
        <v>424</v>
      </c>
      <c r="D23" s="3" t="s">
        <v>425</v>
      </c>
      <c r="E23" s="3" t="s">
        <v>426</v>
      </c>
      <c r="F23" s="3" t="s">
        <v>427</v>
      </c>
      <c r="G23" s="3" t="e">
        <f t="shared" ca="1" si="7"/>
        <v>#NAME?</v>
      </c>
      <c r="H23" s="3" t="e">
        <f t="shared" ca="1" si="8"/>
        <v>#NAME?</v>
      </c>
      <c r="I23" s="3" t="e">
        <f t="shared" ca="1" si="9"/>
        <v>#NAME?</v>
      </c>
      <c r="J23" s="3"/>
      <c r="K23" s="3">
        <f t="shared" si="10"/>
        <v>365</v>
      </c>
      <c r="L23" s="3">
        <f t="shared" si="3"/>
        <v>12</v>
      </c>
      <c r="M23" s="3"/>
      <c r="N23" s="3"/>
      <c r="O23" s="3"/>
      <c r="P23" s="3">
        <v>16.2</v>
      </c>
      <c r="Q23" s="3">
        <v>64</v>
      </c>
      <c r="R23" s="3">
        <v>394</v>
      </c>
      <c r="S23" s="3" t="s">
        <v>21</v>
      </c>
      <c r="U23" s="3" t="s">
        <v>29</v>
      </c>
    </row>
    <row r="24" spans="1:21" x14ac:dyDescent="0.25">
      <c r="A24" s="3" t="s">
        <v>428</v>
      </c>
      <c r="B24" s="3" t="s">
        <v>429</v>
      </c>
      <c r="C24" s="3" t="s">
        <v>430</v>
      </c>
      <c r="D24" s="3" t="s">
        <v>431</v>
      </c>
      <c r="E24" s="3" t="s">
        <v>432</v>
      </c>
      <c r="F24" s="3" t="s">
        <v>433</v>
      </c>
      <c r="G24" s="3" t="e">
        <f t="shared" ca="1" si="7"/>
        <v>#NAME?</v>
      </c>
      <c r="H24" s="3" t="e">
        <f t="shared" ca="1" si="8"/>
        <v>#NAME?</v>
      </c>
      <c r="I24" s="3" t="e">
        <f t="shared" ca="1" si="9"/>
        <v>#NAME?</v>
      </c>
      <c r="J24" s="3"/>
      <c r="K24" s="3">
        <f t="shared" si="10"/>
        <v>365</v>
      </c>
      <c r="L24" s="3">
        <f t="shared" si="3"/>
        <v>12</v>
      </c>
      <c r="M24" s="3"/>
      <c r="N24" s="3"/>
      <c r="O24" s="3"/>
      <c r="P24" s="3">
        <v>0</v>
      </c>
      <c r="Q24" s="3">
        <v>0</v>
      </c>
      <c r="R24" s="3">
        <v>394</v>
      </c>
      <c r="S24" s="3" t="s">
        <v>21</v>
      </c>
      <c r="U24" s="3" t="s">
        <v>29</v>
      </c>
    </row>
    <row r="25" spans="1:21" x14ac:dyDescent="0.25">
      <c r="A25" s="3" t="s">
        <v>434</v>
      </c>
      <c r="B25" s="3" t="s">
        <v>435</v>
      </c>
      <c r="C25" s="3" t="s">
        <v>436</v>
      </c>
      <c r="D25" s="3" t="s">
        <v>437</v>
      </c>
      <c r="E25" s="3" t="s">
        <v>438</v>
      </c>
      <c r="F25" s="3" t="s">
        <v>439</v>
      </c>
      <c r="G25" s="3" t="e">
        <f t="shared" ca="1" si="7"/>
        <v>#NAME?</v>
      </c>
      <c r="H25" s="3" t="e">
        <f t="shared" ca="1" si="8"/>
        <v>#NAME?</v>
      </c>
      <c r="I25" s="3" t="e">
        <f t="shared" ca="1" si="9"/>
        <v>#NAME?</v>
      </c>
      <c r="J25" s="3"/>
      <c r="K25" s="3">
        <f t="shared" si="10"/>
        <v>184</v>
      </c>
      <c r="L25" s="3">
        <f t="shared" si="3"/>
        <v>6</v>
      </c>
      <c r="M25" s="3"/>
      <c r="N25" s="3"/>
      <c r="O25" s="3"/>
      <c r="P25" s="3">
        <v>0</v>
      </c>
      <c r="Q25" s="3">
        <v>0</v>
      </c>
      <c r="R25" s="3">
        <v>394</v>
      </c>
      <c r="S25" s="3" t="s">
        <v>21</v>
      </c>
      <c r="U25" s="3" t="s">
        <v>29</v>
      </c>
    </row>
    <row r="26" spans="1:21" x14ac:dyDescent="0.25">
      <c r="A26" s="3" t="s">
        <v>440</v>
      </c>
      <c r="B26" s="3" t="s">
        <v>441</v>
      </c>
      <c r="C26" s="3" t="s">
        <v>442</v>
      </c>
      <c r="D26" s="3" t="s">
        <v>443</v>
      </c>
      <c r="E26" s="3" t="s">
        <v>444</v>
      </c>
      <c r="F26" s="3" t="s">
        <v>445</v>
      </c>
      <c r="G26" s="3" t="e">
        <f t="shared" ca="1" si="7"/>
        <v>#NAME?</v>
      </c>
      <c r="H26" s="3" t="e">
        <f t="shared" ca="1" si="8"/>
        <v>#NAME?</v>
      </c>
      <c r="I26" s="3" t="e">
        <f t="shared" ca="1" si="9"/>
        <v>#NAME?</v>
      </c>
      <c r="J26" s="3"/>
      <c r="K26" s="3">
        <f t="shared" si="10"/>
        <v>365</v>
      </c>
      <c r="L26" s="3">
        <f t="shared" si="3"/>
        <v>12</v>
      </c>
      <c r="M26" s="3"/>
      <c r="N26" s="3"/>
      <c r="O26" s="3"/>
      <c r="P26" s="3">
        <v>0.3</v>
      </c>
      <c r="Q26" s="3">
        <v>1</v>
      </c>
      <c r="R26" s="3">
        <v>394</v>
      </c>
      <c r="S26" s="3" t="s">
        <v>21</v>
      </c>
      <c r="U26" s="3" t="s">
        <v>29</v>
      </c>
    </row>
    <row r="27" spans="1:21" x14ac:dyDescent="0.25">
      <c r="A27" s="3" t="s">
        <v>446</v>
      </c>
      <c r="B27" s="3" t="s">
        <v>447</v>
      </c>
      <c r="C27" s="3" t="s">
        <v>448</v>
      </c>
      <c r="D27" s="3" t="s">
        <v>449</v>
      </c>
      <c r="E27" s="3" t="s">
        <v>450</v>
      </c>
      <c r="F27" s="3" t="s">
        <v>451</v>
      </c>
      <c r="G27" s="3" t="e">
        <f t="shared" ca="1" si="7"/>
        <v>#NAME?</v>
      </c>
      <c r="H27" s="3" t="e">
        <f t="shared" ca="1" si="8"/>
        <v>#NAME?</v>
      </c>
      <c r="I27" s="3" t="e">
        <f t="shared" ca="1" si="9"/>
        <v>#NAME?</v>
      </c>
      <c r="J27" s="3"/>
      <c r="K27" s="3">
        <f t="shared" si="10"/>
        <v>365</v>
      </c>
      <c r="L27" s="3">
        <f t="shared" si="3"/>
        <v>12</v>
      </c>
      <c r="M27" s="3"/>
      <c r="N27" s="3"/>
      <c r="O27" s="3"/>
      <c r="P27" s="3">
        <v>15.7</v>
      </c>
      <c r="Q27" s="3">
        <v>62</v>
      </c>
      <c r="R27" s="3">
        <v>394</v>
      </c>
      <c r="S27" s="3" t="s">
        <v>21</v>
      </c>
      <c r="U27" s="3" t="s">
        <v>29</v>
      </c>
    </row>
    <row r="28" spans="1:21" x14ac:dyDescent="0.25">
      <c r="A28" s="3" t="s">
        <v>452</v>
      </c>
      <c r="B28" s="3" t="s">
        <v>453</v>
      </c>
      <c r="C28" s="3" t="s">
        <v>454</v>
      </c>
      <c r="D28" s="3" t="s">
        <v>455</v>
      </c>
      <c r="E28" s="3" t="s">
        <v>456</v>
      </c>
      <c r="F28" s="3" t="s">
        <v>457</v>
      </c>
      <c r="G28" s="3" t="e">
        <f t="shared" ca="1" si="7"/>
        <v>#NAME?</v>
      </c>
      <c r="H28" s="3" t="e">
        <f t="shared" ca="1" si="8"/>
        <v>#NAME?</v>
      </c>
      <c r="I28" s="3" t="e">
        <f t="shared" ca="1" si="9"/>
        <v>#NAME?</v>
      </c>
      <c r="J28" s="3"/>
      <c r="K28" s="3">
        <f t="shared" si="10"/>
        <v>365</v>
      </c>
      <c r="L28" s="3">
        <f t="shared" si="3"/>
        <v>12</v>
      </c>
      <c r="M28" s="3"/>
      <c r="N28" s="3"/>
      <c r="O28" s="3"/>
      <c r="P28" s="3">
        <v>7.4</v>
      </c>
      <c r="Q28" s="3">
        <v>29</v>
      </c>
      <c r="R28" s="3">
        <v>394</v>
      </c>
      <c r="S28" s="3" t="s">
        <v>21</v>
      </c>
      <c r="U28" s="3" t="s">
        <v>29</v>
      </c>
    </row>
    <row r="29" spans="1:21" x14ac:dyDescent="0.25">
      <c r="A29" s="3" t="s">
        <v>458</v>
      </c>
      <c r="B29" s="3" t="s">
        <v>459</v>
      </c>
      <c r="C29" s="3" t="s">
        <v>460</v>
      </c>
      <c r="D29" s="3" t="s">
        <v>461</v>
      </c>
      <c r="E29" s="3" t="s">
        <v>462</v>
      </c>
      <c r="F29" s="3" t="s">
        <v>463</v>
      </c>
      <c r="G29" s="3" t="e">
        <f t="shared" ca="1" si="7"/>
        <v>#NAME?</v>
      </c>
      <c r="H29" s="3" t="e">
        <f t="shared" ca="1" si="8"/>
        <v>#NAME?</v>
      </c>
      <c r="I29" s="3" t="e">
        <f t="shared" ca="1" si="9"/>
        <v>#NAME?</v>
      </c>
      <c r="J29" s="3"/>
      <c r="K29" s="3">
        <f t="shared" si="10"/>
        <v>365</v>
      </c>
      <c r="L29" s="3">
        <f t="shared" si="3"/>
        <v>12</v>
      </c>
      <c r="M29" s="3"/>
      <c r="N29" s="3"/>
      <c r="O29" s="3"/>
      <c r="P29" s="3">
        <v>16.2</v>
      </c>
      <c r="Q29" s="3">
        <v>64</v>
      </c>
      <c r="R29" s="3">
        <v>394</v>
      </c>
      <c r="S29" s="3" t="s">
        <v>21</v>
      </c>
      <c r="U29" s="3" t="s">
        <v>29</v>
      </c>
    </row>
    <row r="30" spans="1:21" x14ac:dyDescent="0.25">
      <c r="A30" s="3" t="s">
        <v>464</v>
      </c>
      <c r="B30" s="3" t="s">
        <v>465</v>
      </c>
      <c r="C30" s="3" t="s">
        <v>466</v>
      </c>
      <c r="D30" s="3" t="s">
        <v>467</v>
      </c>
      <c r="E30" s="3" t="s">
        <v>468</v>
      </c>
      <c r="F30" s="3" t="s">
        <v>469</v>
      </c>
      <c r="G30" s="3" t="e">
        <f t="shared" ca="1" si="7"/>
        <v>#NAME?</v>
      </c>
      <c r="H30" s="3" t="e">
        <f t="shared" ca="1" si="8"/>
        <v>#NAME?</v>
      </c>
      <c r="I30" s="3" t="e">
        <f t="shared" ca="1" si="9"/>
        <v>#NAME?</v>
      </c>
      <c r="J30" s="3"/>
      <c r="K30" s="3">
        <f t="shared" si="10"/>
        <v>365</v>
      </c>
      <c r="L30" s="3">
        <f t="shared" si="3"/>
        <v>12</v>
      </c>
      <c r="M30" s="3"/>
      <c r="N30" s="3"/>
      <c r="O30" s="3"/>
      <c r="P30" s="3">
        <v>9.1</v>
      </c>
      <c r="Q30" s="3">
        <v>36</v>
      </c>
      <c r="R30" s="3">
        <v>394</v>
      </c>
      <c r="S30" s="3" t="s">
        <v>21</v>
      </c>
      <c r="U30" s="3" t="s">
        <v>29</v>
      </c>
    </row>
    <row r="31" spans="1:21" x14ac:dyDescent="0.25">
      <c r="A31" s="3" t="s">
        <v>470</v>
      </c>
      <c r="B31" s="3" t="s">
        <v>471</v>
      </c>
      <c r="C31" s="3" t="s">
        <v>472</v>
      </c>
      <c r="D31" s="3" t="s">
        <v>473</v>
      </c>
      <c r="E31" s="3" t="s">
        <v>474</v>
      </c>
      <c r="F31" s="3" t="s">
        <v>475</v>
      </c>
      <c r="G31" s="3" t="e">
        <f t="shared" ca="1" si="7"/>
        <v>#NAME?</v>
      </c>
      <c r="H31" s="3" t="e">
        <f t="shared" ca="1" si="8"/>
        <v>#NAME?</v>
      </c>
      <c r="I31" s="3" t="e">
        <f t="shared" ca="1" si="9"/>
        <v>#NAME?</v>
      </c>
      <c r="J31" s="3"/>
      <c r="K31" s="3">
        <f t="shared" si="10"/>
        <v>365</v>
      </c>
      <c r="L31" s="3">
        <f t="shared" si="3"/>
        <v>12</v>
      </c>
      <c r="M31" s="3"/>
      <c r="N31" s="3"/>
      <c r="O31" s="3"/>
      <c r="P31" s="3">
        <v>0</v>
      </c>
      <c r="Q31" s="3">
        <v>0</v>
      </c>
      <c r="R31" s="3">
        <v>394</v>
      </c>
      <c r="S31" s="3" t="s">
        <v>21</v>
      </c>
      <c r="U31" s="3" t="s">
        <v>29</v>
      </c>
    </row>
    <row r="32" spans="1:21" x14ac:dyDescent="0.25">
      <c r="A32" s="3" t="s">
        <v>476</v>
      </c>
      <c r="B32" s="3" t="s">
        <v>477</v>
      </c>
      <c r="C32" s="3" t="s">
        <v>478</v>
      </c>
      <c r="D32" s="3" t="s">
        <v>479</v>
      </c>
      <c r="E32" s="3" t="s">
        <v>480</v>
      </c>
      <c r="F32" s="3" t="s">
        <v>481</v>
      </c>
      <c r="G32" s="3" t="e">
        <f t="shared" ca="1" si="7"/>
        <v>#NAME?</v>
      </c>
      <c r="H32" s="3" t="e">
        <f t="shared" ca="1" si="8"/>
        <v>#NAME?</v>
      </c>
      <c r="I32" s="3" t="e">
        <f t="shared" ca="1" si="9"/>
        <v>#NAME?</v>
      </c>
      <c r="J32" s="3"/>
      <c r="K32" s="3">
        <f t="shared" si="10"/>
        <v>365</v>
      </c>
      <c r="L32" s="3">
        <f t="shared" si="3"/>
        <v>12</v>
      </c>
      <c r="M32" s="3"/>
      <c r="N32" s="3"/>
      <c r="O32" s="3"/>
      <c r="P32" s="3">
        <v>2.2999999999999998</v>
      </c>
      <c r="Q32" s="3">
        <v>9</v>
      </c>
      <c r="R32" s="3">
        <v>394</v>
      </c>
      <c r="S32" s="3" t="s">
        <v>21</v>
      </c>
      <c r="U32" s="3" t="s">
        <v>29</v>
      </c>
    </row>
    <row r="33" spans="1:21" x14ac:dyDescent="0.25">
      <c r="A33" s="3" t="s">
        <v>482</v>
      </c>
      <c r="B33" s="3" t="s">
        <v>483</v>
      </c>
      <c r="C33" s="3" t="s">
        <v>484</v>
      </c>
      <c r="D33" s="3" t="s">
        <v>485</v>
      </c>
      <c r="E33" s="3" t="s">
        <v>486</v>
      </c>
      <c r="F33" s="3" t="s">
        <v>487</v>
      </c>
      <c r="G33" s="3" t="e">
        <f t="shared" ca="1" si="7"/>
        <v>#NAME?</v>
      </c>
      <c r="H33" s="3" t="e">
        <f t="shared" ca="1" si="8"/>
        <v>#NAME?</v>
      </c>
      <c r="I33" s="3" t="e">
        <f t="shared" ca="1" si="9"/>
        <v>#NAME?</v>
      </c>
      <c r="J33" s="3"/>
      <c r="K33" s="3">
        <f t="shared" si="10"/>
        <v>365</v>
      </c>
      <c r="L33" s="3">
        <f t="shared" si="3"/>
        <v>12</v>
      </c>
      <c r="M33" s="3"/>
      <c r="N33" s="3"/>
      <c r="O33" s="3"/>
      <c r="P33" s="3">
        <v>14.5</v>
      </c>
      <c r="Q33" s="3">
        <v>57</v>
      </c>
      <c r="R33" s="3">
        <v>394</v>
      </c>
      <c r="S33" s="3" t="s">
        <v>21</v>
      </c>
      <c r="U33" s="3" t="s">
        <v>29</v>
      </c>
    </row>
    <row r="34" spans="1:21" x14ac:dyDescent="0.25">
      <c r="A34" s="3" t="s">
        <v>488</v>
      </c>
      <c r="B34" s="3" t="s">
        <v>489</v>
      </c>
      <c r="C34" s="3" t="s">
        <v>490</v>
      </c>
      <c r="D34" s="3" t="s">
        <v>491</v>
      </c>
      <c r="E34" s="3" t="s">
        <v>492</v>
      </c>
      <c r="F34" s="3" t="s">
        <v>493</v>
      </c>
      <c r="G34" s="3" t="e">
        <f t="shared" ca="1" si="7"/>
        <v>#NAME?</v>
      </c>
      <c r="H34" s="3" t="e">
        <f t="shared" ca="1" si="8"/>
        <v>#NAME?</v>
      </c>
      <c r="I34" s="3" t="e">
        <f t="shared" ca="1" si="9"/>
        <v>#NAME?</v>
      </c>
      <c r="J34" s="3"/>
      <c r="K34" s="3">
        <f t="shared" si="10"/>
        <v>365</v>
      </c>
      <c r="L34" s="3">
        <f t="shared" si="3"/>
        <v>12</v>
      </c>
      <c r="M34" s="3"/>
      <c r="N34" s="3"/>
      <c r="O34" s="3"/>
      <c r="P34" s="3">
        <v>9.6</v>
      </c>
      <c r="Q34" s="3">
        <v>38</v>
      </c>
      <c r="R34" s="3">
        <v>394</v>
      </c>
      <c r="S34" s="3" t="s">
        <v>21</v>
      </c>
      <c r="U34" s="3" t="s">
        <v>29</v>
      </c>
    </row>
    <row r="35" spans="1:21" x14ac:dyDescent="0.25">
      <c r="A35" s="3" t="s">
        <v>494</v>
      </c>
      <c r="B35" s="3" t="s">
        <v>495</v>
      </c>
      <c r="C35" s="3" t="s">
        <v>496</v>
      </c>
      <c r="D35" s="3" t="s">
        <v>497</v>
      </c>
      <c r="E35" s="3" t="s">
        <v>498</v>
      </c>
      <c r="F35" s="3" t="s">
        <v>499</v>
      </c>
      <c r="G35" s="3" t="e">
        <f t="shared" ca="1" si="7"/>
        <v>#NAME?</v>
      </c>
      <c r="H35" s="3" t="e">
        <f t="shared" ca="1" si="8"/>
        <v>#NAME?</v>
      </c>
      <c r="I35" s="3" t="e">
        <f t="shared" ca="1" si="9"/>
        <v>#NAME?</v>
      </c>
      <c r="J35" s="3"/>
      <c r="K35" s="3">
        <f t="shared" si="10"/>
        <v>365</v>
      </c>
      <c r="L35" s="3">
        <f t="shared" si="3"/>
        <v>12</v>
      </c>
      <c r="M35" s="3"/>
      <c r="N35" s="3"/>
      <c r="O35" s="3"/>
      <c r="P35" s="3">
        <v>2</v>
      </c>
      <c r="Q35" s="3">
        <v>8</v>
      </c>
      <c r="R35" s="3">
        <v>394</v>
      </c>
      <c r="S35" s="3" t="s">
        <v>21</v>
      </c>
      <c r="U35" s="3" t="s">
        <v>29</v>
      </c>
    </row>
    <row r="36" spans="1:21" x14ac:dyDescent="0.25">
      <c r="A36" s="3" t="s">
        <v>500</v>
      </c>
      <c r="B36" s="3" t="s">
        <v>501</v>
      </c>
      <c r="C36" s="3" t="s">
        <v>502</v>
      </c>
      <c r="D36" s="3" t="s">
        <v>503</v>
      </c>
      <c r="E36" s="3" t="s">
        <v>504</v>
      </c>
      <c r="F36" s="3" t="s">
        <v>505</v>
      </c>
      <c r="G36" s="3" t="e">
        <f t="shared" ca="1" si="7"/>
        <v>#NAME?</v>
      </c>
      <c r="H36" s="3" t="e">
        <f t="shared" ca="1" si="8"/>
        <v>#NAME?</v>
      </c>
      <c r="I36" s="3" t="e">
        <f t="shared" ca="1" si="9"/>
        <v>#NAME?</v>
      </c>
      <c r="J36" s="3"/>
      <c r="K36" s="3">
        <f t="shared" si="10"/>
        <v>365</v>
      </c>
      <c r="L36" s="3">
        <f t="shared" si="3"/>
        <v>12</v>
      </c>
      <c r="M36" s="3"/>
      <c r="N36" s="3"/>
      <c r="O36" s="3"/>
      <c r="P36" s="3">
        <v>0.8</v>
      </c>
      <c r="Q36" s="3">
        <v>3</v>
      </c>
      <c r="R36" s="3">
        <v>394</v>
      </c>
      <c r="S36" s="3" t="s">
        <v>21</v>
      </c>
      <c r="U36" s="3" t="s">
        <v>29</v>
      </c>
    </row>
    <row r="37" spans="1:21" x14ac:dyDescent="0.25">
      <c r="A37" s="3" t="s">
        <v>506</v>
      </c>
      <c r="B37" s="3" t="s">
        <v>507</v>
      </c>
      <c r="C37" s="3" t="s">
        <v>508</v>
      </c>
      <c r="D37" s="3" t="s">
        <v>509</v>
      </c>
      <c r="E37" s="3" t="s">
        <v>510</v>
      </c>
      <c r="F37" s="3" t="s">
        <v>511</v>
      </c>
      <c r="G37" s="3" t="e">
        <f t="shared" ca="1" si="7"/>
        <v>#NAME?</v>
      </c>
      <c r="H37" s="3" t="e">
        <f t="shared" ca="1" si="8"/>
        <v>#NAME?</v>
      </c>
      <c r="I37" s="3" t="e">
        <f t="shared" ca="1" si="9"/>
        <v>#NAME?</v>
      </c>
      <c r="J37" s="3"/>
      <c r="K37" s="3">
        <f t="shared" si="10"/>
        <v>365</v>
      </c>
      <c r="L37" s="3">
        <f t="shared" si="3"/>
        <v>12</v>
      </c>
      <c r="M37" s="3"/>
      <c r="N37" s="3"/>
      <c r="O37" s="3"/>
      <c r="P37" s="3">
        <v>4.0999999999999996</v>
      </c>
      <c r="Q37" s="3">
        <v>16</v>
      </c>
      <c r="R37" s="3">
        <v>394</v>
      </c>
      <c r="S37" s="3" t="s">
        <v>21</v>
      </c>
      <c r="U37" s="3" t="s">
        <v>29</v>
      </c>
    </row>
    <row r="38" spans="1:21" x14ac:dyDescent="0.25">
      <c r="A38" s="3" t="s">
        <v>512</v>
      </c>
      <c r="B38" s="3" t="s">
        <v>513</v>
      </c>
      <c r="C38" s="3" t="s">
        <v>514</v>
      </c>
      <c r="D38" s="3" t="s">
        <v>515</v>
      </c>
      <c r="E38" s="3" t="s">
        <v>516</v>
      </c>
      <c r="F38" s="3" t="s">
        <v>517</v>
      </c>
      <c r="G38" s="3" t="e">
        <f t="shared" ca="1" si="7"/>
        <v>#NAME?</v>
      </c>
      <c r="H38" s="3" t="e">
        <f t="shared" ca="1" si="8"/>
        <v>#NAME?</v>
      </c>
      <c r="I38" s="3" t="e">
        <f t="shared" ca="1" si="9"/>
        <v>#NAME?</v>
      </c>
      <c r="J38" s="3"/>
      <c r="K38" s="3">
        <f t="shared" si="10"/>
        <v>365</v>
      </c>
      <c r="L38" s="3">
        <f t="shared" si="3"/>
        <v>12</v>
      </c>
      <c r="M38" s="3"/>
      <c r="N38" s="3"/>
      <c r="O38" s="3"/>
      <c r="P38" s="3">
        <v>0</v>
      </c>
      <c r="Q38" s="3">
        <v>0</v>
      </c>
      <c r="R38" s="3">
        <v>394</v>
      </c>
      <c r="S38" s="3" t="s">
        <v>21</v>
      </c>
      <c r="U38" s="3" t="s">
        <v>29</v>
      </c>
    </row>
    <row r="39" spans="1:21" x14ac:dyDescent="0.25">
      <c r="A39" s="3" t="s">
        <v>518</v>
      </c>
      <c r="B39" s="3" t="s">
        <v>519</v>
      </c>
      <c r="C39" s="3" t="s">
        <v>520</v>
      </c>
      <c r="D39" s="3" t="s">
        <v>521</v>
      </c>
      <c r="E39" s="3" t="s">
        <v>522</v>
      </c>
      <c r="F39" s="3" t="s">
        <v>523</v>
      </c>
      <c r="G39" s="3" t="e">
        <f t="shared" ca="1" si="7"/>
        <v>#NAME?</v>
      </c>
      <c r="H39" s="3" t="e">
        <f t="shared" ca="1" si="8"/>
        <v>#NAME?</v>
      </c>
      <c r="I39" s="3" t="e">
        <f t="shared" ca="1" si="9"/>
        <v>#NAME?</v>
      </c>
      <c r="J39" s="3"/>
      <c r="K39" s="3">
        <f t="shared" si="10"/>
        <v>365</v>
      </c>
      <c r="L39" s="3">
        <f t="shared" si="3"/>
        <v>12</v>
      </c>
      <c r="M39" s="3"/>
      <c r="N39" s="3"/>
      <c r="O39" s="3"/>
      <c r="P39" s="3">
        <v>17</v>
      </c>
      <c r="Q39" s="3">
        <v>67</v>
      </c>
      <c r="R39" s="3">
        <v>394</v>
      </c>
      <c r="S39" s="3" t="s">
        <v>21</v>
      </c>
      <c r="U39" s="3" t="s">
        <v>29</v>
      </c>
    </row>
    <row r="40" spans="1:21" x14ac:dyDescent="0.25">
      <c r="A40" s="3" t="s">
        <v>524</v>
      </c>
      <c r="B40" s="3" t="s">
        <v>525</v>
      </c>
      <c r="C40" s="3" t="s">
        <v>526</v>
      </c>
      <c r="D40" s="3" t="s">
        <v>527</v>
      </c>
      <c r="E40" s="3" t="s">
        <v>528</v>
      </c>
      <c r="F40" s="3" t="s">
        <v>529</v>
      </c>
      <c r="G40" s="3" t="e">
        <f t="shared" ca="1" si="7"/>
        <v>#NAME?</v>
      </c>
      <c r="H40" s="3" t="e">
        <f t="shared" ca="1" si="8"/>
        <v>#NAME?</v>
      </c>
      <c r="I40" s="3" t="e">
        <f t="shared" ca="1" si="9"/>
        <v>#NAME?</v>
      </c>
      <c r="J40" s="3"/>
      <c r="K40" s="3">
        <f t="shared" si="10"/>
        <v>365</v>
      </c>
      <c r="L40" s="3">
        <f t="shared" si="3"/>
        <v>12</v>
      </c>
      <c r="M40" s="3"/>
      <c r="N40" s="3"/>
      <c r="O40" s="3"/>
      <c r="P40" s="3">
        <v>20.6</v>
      </c>
      <c r="Q40" s="3">
        <v>81</v>
      </c>
      <c r="R40" s="3">
        <v>394</v>
      </c>
      <c r="S40" s="3" t="s">
        <v>21</v>
      </c>
      <c r="U40" s="3" t="s">
        <v>29</v>
      </c>
    </row>
    <row r="41" spans="1:21" x14ac:dyDescent="0.25">
      <c r="A41" s="3" t="s">
        <v>530</v>
      </c>
      <c r="B41" s="3" t="s">
        <v>531</v>
      </c>
      <c r="C41" s="3" t="s">
        <v>532</v>
      </c>
      <c r="D41" s="3" t="s">
        <v>533</v>
      </c>
      <c r="E41" s="3" t="s">
        <v>534</v>
      </c>
      <c r="F41" s="3" t="s">
        <v>535</v>
      </c>
      <c r="G41" s="3" t="e">
        <f t="shared" ca="1" si="7"/>
        <v>#NAME?</v>
      </c>
      <c r="H41" s="3" t="e">
        <f t="shared" ca="1" si="8"/>
        <v>#NAME?</v>
      </c>
      <c r="I41" s="3" t="e">
        <f t="shared" ca="1" si="9"/>
        <v>#NAME?</v>
      </c>
      <c r="J41" s="3"/>
      <c r="K41" s="3">
        <f t="shared" si="10"/>
        <v>365</v>
      </c>
      <c r="L41" s="3">
        <f t="shared" si="3"/>
        <v>12</v>
      </c>
      <c r="M41" s="3"/>
      <c r="N41" s="3"/>
      <c r="O41" s="3"/>
      <c r="P41" s="3">
        <v>0</v>
      </c>
      <c r="Q41" s="3">
        <v>0</v>
      </c>
      <c r="R41" s="3">
        <v>394</v>
      </c>
      <c r="S41" s="3" t="s">
        <v>21</v>
      </c>
      <c r="U41" s="3" t="s">
        <v>29</v>
      </c>
    </row>
    <row r="42" spans="1:21" x14ac:dyDescent="0.25">
      <c r="A42" s="3" t="s">
        <v>536</v>
      </c>
      <c r="B42" s="3" t="s">
        <v>537</v>
      </c>
      <c r="C42" s="3" t="s">
        <v>538</v>
      </c>
      <c r="D42" s="3" t="s">
        <v>539</v>
      </c>
      <c r="E42" s="3" t="s">
        <v>540</v>
      </c>
      <c r="F42" s="3" t="s">
        <v>541</v>
      </c>
      <c r="G42" s="3" t="e">
        <f t="shared" ca="1" si="7"/>
        <v>#NAME?</v>
      </c>
      <c r="H42" s="3" t="e">
        <f t="shared" ca="1" si="8"/>
        <v>#NAME?</v>
      </c>
      <c r="I42" s="3" t="e">
        <f t="shared" ca="1" si="9"/>
        <v>#NAME?</v>
      </c>
      <c r="J42" s="3"/>
      <c r="K42" s="3">
        <f t="shared" si="10"/>
        <v>365</v>
      </c>
      <c r="L42" s="3">
        <f t="shared" si="3"/>
        <v>12</v>
      </c>
      <c r="M42" s="3"/>
      <c r="N42" s="3"/>
      <c r="O42" s="3"/>
      <c r="P42" s="3">
        <v>1.5</v>
      </c>
      <c r="Q42" s="3">
        <v>6</v>
      </c>
      <c r="R42" s="3">
        <v>394</v>
      </c>
      <c r="S42" s="3" t="s">
        <v>21</v>
      </c>
      <c r="U42" s="3" t="s">
        <v>29</v>
      </c>
    </row>
    <row r="43" spans="1:21" x14ac:dyDescent="0.25">
      <c r="A43" s="3" t="s">
        <v>542</v>
      </c>
      <c r="B43" s="3" t="s">
        <v>543</v>
      </c>
      <c r="C43" s="3" t="s">
        <v>544</v>
      </c>
      <c r="D43" s="3" t="s">
        <v>545</v>
      </c>
      <c r="E43" s="3" t="s">
        <v>546</v>
      </c>
      <c r="F43" s="3" t="s">
        <v>547</v>
      </c>
      <c r="G43" s="3" t="e">
        <f t="shared" ca="1" si="7"/>
        <v>#NAME?</v>
      </c>
      <c r="H43" s="3" t="e">
        <f t="shared" ca="1" si="8"/>
        <v>#NAME?</v>
      </c>
      <c r="I43" s="3" t="e">
        <f t="shared" ca="1" si="9"/>
        <v>#NAME?</v>
      </c>
      <c r="J43" s="3"/>
      <c r="K43" s="3">
        <f t="shared" si="10"/>
        <v>365</v>
      </c>
      <c r="L43" s="3">
        <f t="shared" si="3"/>
        <v>12</v>
      </c>
      <c r="M43" s="3"/>
      <c r="N43" s="3"/>
      <c r="O43" s="3"/>
      <c r="P43" s="3">
        <v>4.0999999999999996</v>
      </c>
      <c r="Q43" s="3">
        <v>16</v>
      </c>
      <c r="R43" s="3">
        <v>394</v>
      </c>
      <c r="S43" s="3" t="s">
        <v>21</v>
      </c>
      <c r="U43" s="3" t="s">
        <v>29</v>
      </c>
    </row>
    <row r="44" spans="1:21" x14ac:dyDescent="0.25">
      <c r="A44" s="3" t="s">
        <v>548</v>
      </c>
      <c r="B44" s="3" t="s">
        <v>549</v>
      </c>
      <c r="C44" s="3" t="s">
        <v>550</v>
      </c>
      <c r="D44" s="3" t="s">
        <v>551</v>
      </c>
      <c r="E44" s="3" t="s">
        <v>552</v>
      </c>
      <c r="F44" s="3" t="s">
        <v>553</v>
      </c>
      <c r="G44" s="3" t="e">
        <f t="shared" ca="1" si="7"/>
        <v>#NAME?</v>
      </c>
      <c r="H44" s="3" t="e">
        <f t="shared" ca="1" si="8"/>
        <v>#NAME?</v>
      </c>
      <c r="I44" s="3" t="e">
        <f t="shared" ca="1" si="9"/>
        <v>#NAME?</v>
      </c>
      <c r="J44" s="3"/>
      <c r="K44" s="3">
        <f t="shared" si="10"/>
        <v>365</v>
      </c>
      <c r="L44" s="3">
        <f t="shared" si="3"/>
        <v>12</v>
      </c>
      <c r="M44" s="3"/>
      <c r="N44" s="3"/>
      <c r="O44" s="3"/>
      <c r="P44" s="3">
        <v>4.5999999999999996</v>
      </c>
      <c r="Q44" s="3">
        <v>18</v>
      </c>
      <c r="R44" s="3">
        <v>394</v>
      </c>
      <c r="S44" s="3" t="s">
        <v>21</v>
      </c>
      <c r="U44" s="3" t="s">
        <v>29</v>
      </c>
    </row>
    <row r="45" spans="1:21" x14ac:dyDescent="0.25">
      <c r="A45" s="3" t="s">
        <v>554</v>
      </c>
      <c r="B45" s="3" t="s">
        <v>555</v>
      </c>
      <c r="C45" s="3" t="s">
        <v>556</v>
      </c>
      <c r="D45" s="3" t="s">
        <v>557</v>
      </c>
      <c r="E45" s="3" t="s">
        <v>558</v>
      </c>
      <c r="F45" s="3" t="s">
        <v>559</v>
      </c>
      <c r="G45" s="3" t="e">
        <f t="shared" ca="1" si="7"/>
        <v>#NAME?</v>
      </c>
      <c r="H45" s="3" t="e">
        <f t="shared" ca="1" si="8"/>
        <v>#NAME?</v>
      </c>
      <c r="I45" s="3" t="e">
        <f t="shared" ca="1" si="9"/>
        <v>#NAME?</v>
      </c>
      <c r="J45" s="3"/>
      <c r="K45" s="3">
        <f t="shared" si="10"/>
        <v>365</v>
      </c>
      <c r="L45" s="3">
        <f t="shared" si="3"/>
        <v>12</v>
      </c>
      <c r="M45" s="3"/>
      <c r="N45" s="3"/>
      <c r="O45" s="3"/>
      <c r="P45" s="3">
        <v>3.6</v>
      </c>
      <c r="Q45" s="3">
        <v>14</v>
      </c>
      <c r="R45" s="3">
        <v>394</v>
      </c>
      <c r="S45" s="3" t="s">
        <v>21</v>
      </c>
      <c r="U45" s="3" t="s">
        <v>29</v>
      </c>
    </row>
    <row r="46" spans="1:21" x14ac:dyDescent="0.25">
      <c r="A46" s="3" t="s">
        <v>560</v>
      </c>
      <c r="B46" s="3" t="s">
        <v>561</v>
      </c>
      <c r="C46" s="3" t="s">
        <v>562</v>
      </c>
      <c r="D46" s="3" t="s">
        <v>563</v>
      </c>
      <c r="E46" s="3" t="s">
        <v>564</v>
      </c>
      <c r="F46" s="3" t="s">
        <v>565</v>
      </c>
      <c r="G46" s="3" t="e">
        <f t="shared" ca="1" si="7"/>
        <v>#NAME?</v>
      </c>
      <c r="H46" s="3" t="e">
        <f t="shared" ca="1" si="8"/>
        <v>#NAME?</v>
      </c>
      <c r="I46" s="3" t="e">
        <f t="shared" ca="1" si="9"/>
        <v>#NAME?</v>
      </c>
      <c r="J46" s="3"/>
      <c r="K46" s="3">
        <f t="shared" si="10"/>
        <v>365</v>
      </c>
      <c r="L46" s="3">
        <f t="shared" si="3"/>
        <v>12</v>
      </c>
      <c r="M46" s="3"/>
      <c r="N46" s="3"/>
      <c r="O46" s="3"/>
      <c r="P46" s="3">
        <v>0.3</v>
      </c>
      <c r="Q46" s="3">
        <v>1</v>
      </c>
      <c r="R46" s="3">
        <v>394</v>
      </c>
      <c r="S46" s="3" t="s">
        <v>21</v>
      </c>
      <c r="U46" s="3" t="s">
        <v>29</v>
      </c>
    </row>
    <row r="47" spans="1:21" x14ac:dyDescent="0.25">
      <c r="A47" s="3" t="s">
        <v>566</v>
      </c>
      <c r="B47" s="3" t="s">
        <v>567</v>
      </c>
      <c r="C47" s="3" t="s">
        <v>568</v>
      </c>
      <c r="D47" s="3" t="s">
        <v>569</v>
      </c>
      <c r="E47" s="3" t="s">
        <v>570</v>
      </c>
      <c r="F47" s="3" t="s">
        <v>571</v>
      </c>
      <c r="G47" s="3" t="e">
        <f t="shared" ca="1" si="7"/>
        <v>#NAME?</v>
      </c>
      <c r="H47" s="3" t="e">
        <f t="shared" ca="1" si="8"/>
        <v>#NAME?</v>
      </c>
      <c r="I47" s="3" t="e">
        <f t="shared" ca="1" si="9"/>
        <v>#NAME?</v>
      </c>
      <c r="J47" s="3"/>
      <c r="K47" s="3">
        <f t="shared" si="10"/>
        <v>365</v>
      </c>
      <c r="L47" s="3">
        <f t="shared" si="3"/>
        <v>12</v>
      </c>
      <c r="M47" s="3"/>
      <c r="N47" s="3"/>
      <c r="O47" s="3"/>
      <c r="P47" s="3">
        <v>8.9</v>
      </c>
      <c r="Q47" s="3">
        <v>35</v>
      </c>
      <c r="R47" s="3">
        <v>394</v>
      </c>
      <c r="S47" s="3" t="s">
        <v>21</v>
      </c>
      <c r="U47" s="3" t="s">
        <v>29</v>
      </c>
    </row>
    <row r="48" spans="1:21" x14ac:dyDescent="0.25">
      <c r="A48" s="3" t="s">
        <v>572</v>
      </c>
      <c r="B48" s="3" t="s">
        <v>573</v>
      </c>
      <c r="C48" s="3" t="s">
        <v>574</v>
      </c>
      <c r="D48" s="3" t="s">
        <v>575</v>
      </c>
      <c r="E48" s="3" t="s">
        <v>576</v>
      </c>
      <c r="F48" s="3" t="s">
        <v>577</v>
      </c>
      <c r="G48" s="3" t="e">
        <f t="shared" ca="1" si="7"/>
        <v>#NAME?</v>
      </c>
      <c r="H48" s="3" t="e">
        <f t="shared" ca="1" si="8"/>
        <v>#NAME?</v>
      </c>
      <c r="I48" s="3" t="e">
        <f t="shared" ca="1" si="9"/>
        <v>#NAME?</v>
      </c>
      <c r="J48" s="3"/>
      <c r="K48" s="3">
        <f t="shared" si="10"/>
        <v>365</v>
      </c>
      <c r="L48" s="3">
        <f t="shared" si="3"/>
        <v>12</v>
      </c>
      <c r="M48" s="3"/>
      <c r="N48" s="3"/>
      <c r="O48" s="3"/>
      <c r="P48" s="3">
        <v>26.9</v>
      </c>
      <c r="Q48" s="3">
        <v>106</v>
      </c>
      <c r="R48" s="3">
        <v>394</v>
      </c>
      <c r="S48" s="3" t="s">
        <v>21</v>
      </c>
      <c r="U48" s="3" t="s">
        <v>29</v>
      </c>
    </row>
    <row r="49" spans="1:21" x14ac:dyDescent="0.25">
      <c r="A49" s="3" t="s">
        <v>578</v>
      </c>
      <c r="B49" s="3" t="s">
        <v>579</v>
      </c>
      <c r="C49" s="3" t="s">
        <v>580</v>
      </c>
      <c r="D49" s="3" t="s">
        <v>581</v>
      </c>
      <c r="E49" s="3" t="s">
        <v>582</v>
      </c>
      <c r="F49" s="3" t="s">
        <v>583</v>
      </c>
      <c r="G49" s="3" t="e">
        <f t="shared" ca="1" si="7"/>
        <v>#NAME?</v>
      </c>
      <c r="H49" s="3" t="e">
        <f t="shared" ca="1" si="8"/>
        <v>#NAME?</v>
      </c>
      <c r="I49" s="3" t="e">
        <f t="shared" ca="1" si="9"/>
        <v>#NAME?</v>
      </c>
      <c r="J49" s="3"/>
      <c r="K49" s="3">
        <f t="shared" si="10"/>
        <v>365</v>
      </c>
      <c r="L49" s="3">
        <f t="shared" si="3"/>
        <v>12</v>
      </c>
      <c r="M49" s="3"/>
      <c r="N49" s="3"/>
      <c r="O49" s="3"/>
      <c r="P49" s="3">
        <v>2.2999999999999998</v>
      </c>
      <c r="Q49" s="3">
        <v>9</v>
      </c>
      <c r="R49" s="3">
        <v>394</v>
      </c>
      <c r="S49" s="3" t="s">
        <v>21</v>
      </c>
      <c r="U49" s="3" t="s">
        <v>29</v>
      </c>
    </row>
    <row r="50" spans="1:21" x14ac:dyDescent="0.25">
      <c r="A50" s="3" t="s">
        <v>584</v>
      </c>
      <c r="B50" s="3" t="s">
        <v>585</v>
      </c>
      <c r="C50" s="3" t="s">
        <v>586</v>
      </c>
      <c r="D50" s="3" t="s">
        <v>587</v>
      </c>
      <c r="E50" s="3" t="s">
        <v>588</v>
      </c>
      <c r="F50" s="3" t="s">
        <v>589</v>
      </c>
      <c r="G50" s="3" t="e">
        <f t="shared" ca="1" si="7"/>
        <v>#NAME?</v>
      </c>
      <c r="H50" s="3" t="e">
        <f t="shared" ca="1" si="8"/>
        <v>#NAME?</v>
      </c>
      <c r="I50" s="3" t="e">
        <f t="shared" ca="1" si="9"/>
        <v>#NAME?</v>
      </c>
      <c r="J50" s="3"/>
      <c r="K50" s="3">
        <f t="shared" si="10"/>
        <v>365</v>
      </c>
      <c r="L50" s="3">
        <f t="shared" si="3"/>
        <v>12</v>
      </c>
      <c r="M50" s="3"/>
      <c r="N50" s="3"/>
      <c r="O50" s="3"/>
      <c r="P50" s="3">
        <v>2</v>
      </c>
      <c r="Q50" s="3">
        <v>8</v>
      </c>
      <c r="R50" s="3">
        <v>394</v>
      </c>
      <c r="S50" s="3" t="s">
        <v>21</v>
      </c>
      <c r="U50" s="3" t="s">
        <v>29</v>
      </c>
    </row>
    <row r="51" spans="1:21" x14ac:dyDescent="0.25">
      <c r="A51" s="3" t="s">
        <v>590</v>
      </c>
      <c r="B51" s="3" t="s">
        <v>591</v>
      </c>
      <c r="C51" s="3" t="s">
        <v>592</v>
      </c>
      <c r="D51" s="3" t="s">
        <v>593</v>
      </c>
      <c r="E51" s="3" t="s">
        <v>594</v>
      </c>
      <c r="F51" s="3" t="s">
        <v>595</v>
      </c>
      <c r="G51" s="3" t="e">
        <f t="shared" ca="1" si="7"/>
        <v>#NAME?</v>
      </c>
      <c r="H51" s="3" t="e">
        <f t="shared" ca="1" si="8"/>
        <v>#NAME?</v>
      </c>
      <c r="I51" s="3" t="e">
        <f t="shared" ca="1" si="9"/>
        <v>#NAME?</v>
      </c>
      <c r="J51" s="3"/>
      <c r="K51" s="3">
        <f t="shared" si="10"/>
        <v>365</v>
      </c>
      <c r="L51" s="3">
        <f t="shared" si="3"/>
        <v>12</v>
      </c>
      <c r="M51" s="3"/>
      <c r="N51" s="3"/>
      <c r="O51" s="3"/>
      <c r="P51" s="3">
        <v>3.6</v>
      </c>
      <c r="Q51" s="3">
        <v>14</v>
      </c>
      <c r="R51" s="3">
        <v>394</v>
      </c>
      <c r="S51" s="3" t="s">
        <v>21</v>
      </c>
      <c r="U51" s="3" t="s">
        <v>29</v>
      </c>
    </row>
    <row r="52" spans="1:21" x14ac:dyDescent="0.25">
      <c r="A52" s="3" t="s">
        <v>596</v>
      </c>
      <c r="B52" s="3" t="s">
        <v>597</v>
      </c>
      <c r="C52" s="3" t="s">
        <v>598</v>
      </c>
      <c r="D52" s="3" t="s">
        <v>599</v>
      </c>
      <c r="E52" s="3" t="s">
        <v>600</v>
      </c>
      <c r="F52" s="3" t="s">
        <v>601</v>
      </c>
      <c r="G52" s="3" t="e">
        <f t="shared" ca="1" si="7"/>
        <v>#NAME?</v>
      </c>
      <c r="H52" s="3" t="e">
        <f t="shared" ca="1" si="8"/>
        <v>#NAME?</v>
      </c>
      <c r="I52" s="3" t="e">
        <f t="shared" ca="1" si="9"/>
        <v>#NAME?</v>
      </c>
      <c r="J52" s="3"/>
      <c r="K52" s="3">
        <f t="shared" si="10"/>
        <v>365</v>
      </c>
      <c r="L52" s="3">
        <f t="shared" si="3"/>
        <v>12</v>
      </c>
      <c r="M52" s="3"/>
      <c r="N52" s="3"/>
      <c r="O52" s="3"/>
      <c r="P52" s="3">
        <v>2.5</v>
      </c>
      <c r="Q52" s="3">
        <v>10</v>
      </c>
      <c r="R52" s="3">
        <v>394</v>
      </c>
      <c r="S52" s="3" t="s">
        <v>21</v>
      </c>
      <c r="U52" s="3" t="s">
        <v>29</v>
      </c>
    </row>
    <row r="53" spans="1:21" x14ac:dyDescent="0.25">
      <c r="A53" s="3" t="s">
        <v>602</v>
      </c>
      <c r="B53" s="3" t="s">
        <v>603</v>
      </c>
      <c r="C53" s="3" t="s">
        <v>604</v>
      </c>
      <c r="D53" s="3" t="s">
        <v>605</v>
      </c>
      <c r="E53" s="3" t="s">
        <v>606</v>
      </c>
      <c r="F53" s="3" t="s">
        <v>607</v>
      </c>
      <c r="G53" s="3" t="e">
        <f t="shared" ca="1" si="7"/>
        <v>#NAME?</v>
      </c>
      <c r="H53" s="3" t="e">
        <f t="shared" ca="1" si="8"/>
        <v>#NAME?</v>
      </c>
      <c r="I53" s="3" t="e">
        <f t="shared" ca="1" si="9"/>
        <v>#NAME?</v>
      </c>
      <c r="J53" s="3"/>
      <c r="K53" s="3">
        <f t="shared" si="10"/>
        <v>365</v>
      </c>
      <c r="L53" s="3">
        <f t="shared" si="3"/>
        <v>12</v>
      </c>
      <c r="M53" s="3"/>
      <c r="N53" s="3"/>
      <c r="O53" s="3"/>
      <c r="P53" s="3">
        <v>54.3</v>
      </c>
      <c r="Q53" s="3">
        <v>214</v>
      </c>
      <c r="R53" s="3">
        <v>394</v>
      </c>
      <c r="S53" s="3" t="s">
        <v>21</v>
      </c>
      <c r="U53" s="3" t="s">
        <v>29</v>
      </c>
    </row>
    <row r="54" spans="1:21" x14ac:dyDescent="0.25">
      <c r="A54" s="3" t="s">
        <v>608</v>
      </c>
      <c r="B54" s="3" t="s">
        <v>609</v>
      </c>
      <c r="C54" s="3" t="s">
        <v>610</v>
      </c>
      <c r="D54" s="3" t="s">
        <v>611</v>
      </c>
      <c r="E54" s="3" t="s">
        <v>612</v>
      </c>
      <c r="F54" s="3" t="s">
        <v>613</v>
      </c>
      <c r="G54" s="3" t="e">
        <f t="shared" ca="1" si="7"/>
        <v>#NAME?</v>
      </c>
      <c r="H54" s="3" t="e">
        <f t="shared" ca="1" si="8"/>
        <v>#NAME?</v>
      </c>
      <c r="I54" s="3" t="e">
        <f t="shared" ca="1" si="9"/>
        <v>#NAME?</v>
      </c>
      <c r="J54" s="3"/>
      <c r="K54" s="3">
        <f t="shared" si="10"/>
        <v>365</v>
      </c>
      <c r="L54" s="3">
        <f t="shared" si="3"/>
        <v>12</v>
      </c>
      <c r="M54" s="3"/>
      <c r="N54" s="3"/>
      <c r="O54" s="3"/>
      <c r="P54" s="3">
        <v>6.3</v>
      </c>
      <c r="Q54" s="3">
        <v>25</v>
      </c>
      <c r="R54" s="3">
        <v>394</v>
      </c>
      <c r="S54" s="3" t="s">
        <v>21</v>
      </c>
      <c r="U54" s="3" t="s">
        <v>29</v>
      </c>
    </row>
    <row r="55" spans="1:21" x14ac:dyDescent="0.25">
      <c r="A55" s="3" t="s">
        <v>614</v>
      </c>
      <c r="B55" s="3" t="s">
        <v>615</v>
      </c>
      <c r="C55" s="3" t="s">
        <v>616</v>
      </c>
      <c r="D55" s="3" t="s">
        <v>617</v>
      </c>
      <c r="E55" s="3" t="s">
        <v>618</v>
      </c>
      <c r="F55" s="3" t="s">
        <v>619</v>
      </c>
      <c r="G55" s="3" t="e">
        <f t="shared" ca="1" si="7"/>
        <v>#NAME?</v>
      </c>
      <c r="H55" s="3" t="e">
        <f t="shared" ca="1" si="8"/>
        <v>#NAME?</v>
      </c>
      <c r="I55" s="3" t="e">
        <f t="shared" ca="1" si="9"/>
        <v>#NAME?</v>
      </c>
      <c r="J55" s="3"/>
      <c r="K55" s="3">
        <f t="shared" si="10"/>
        <v>365</v>
      </c>
      <c r="L55" s="3">
        <f t="shared" si="3"/>
        <v>12</v>
      </c>
      <c r="M55" s="3"/>
      <c r="N55" s="3"/>
      <c r="O55" s="3"/>
      <c r="P55" s="3">
        <v>2.5</v>
      </c>
      <c r="Q55" s="3">
        <v>10</v>
      </c>
      <c r="R55" s="3">
        <v>394</v>
      </c>
      <c r="S55" s="3" t="s">
        <v>21</v>
      </c>
      <c r="U55" s="3" t="s">
        <v>29</v>
      </c>
    </row>
    <row r="56" spans="1:21" x14ac:dyDescent="0.25">
      <c r="A56" s="3" t="s">
        <v>620</v>
      </c>
      <c r="B56" s="3" t="s">
        <v>621</v>
      </c>
      <c r="C56" s="3" t="s">
        <v>622</v>
      </c>
      <c r="D56" s="3" t="s">
        <v>623</v>
      </c>
      <c r="E56" s="3" t="s">
        <v>624</v>
      </c>
      <c r="F56" s="3" t="s">
        <v>625</v>
      </c>
      <c r="G56" s="3" t="e">
        <f t="shared" ca="1" si="7"/>
        <v>#NAME?</v>
      </c>
      <c r="H56" s="3" t="e">
        <f t="shared" ca="1" si="8"/>
        <v>#NAME?</v>
      </c>
      <c r="I56" s="3" t="e">
        <f t="shared" ca="1" si="9"/>
        <v>#NAME?</v>
      </c>
      <c r="J56" s="3"/>
      <c r="K56" s="3">
        <f t="shared" si="10"/>
        <v>365</v>
      </c>
      <c r="L56" s="3">
        <f t="shared" si="3"/>
        <v>12</v>
      </c>
      <c r="M56" s="3"/>
      <c r="N56" s="3"/>
      <c r="O56" s="3"/>
      <c r="P56" s="3">
        <v>17</v>
      </c>
      <c r="Q56" s="3">
        <v>67</v>
      </c>
      <c r="R56" s="3">
        <v>394</v>
      </c>
      <c r="S56" s="3" t="s">
        <v>21</v>
      </c>
      <c r="U56" s="3" t="s">
        <v>29</v>
      </c>
    </row>
    <row r="57" spans="1:21" x14ac:dyDescent="0.25">
      <c r="A57" s="3" t="s">
        <v>626</v>
      </c>
      <c r="B57" s="3" t="s">
        <v>627</v>
      </c>
      <c r="C57" s="3" t="s">
        <v>628</v>
      </c>
      <c r="D57" s="3" t="s">
        <v>629</v>
      </c>
      <c r="E57" s="3" t="s">
        <v>630</v>
      </c>
      <c r="F57" s="3" t="s">
        <v>631</v>
      </c>
      <c r="G57" s="3" t="e">
        <f t="shared" ca="1" si="7"/>
        <v>#NAME?</v>
      </c>
      <c r="H57" s="3" t="e">
        <f t="shared" ca="1" si="8"/>
        <v>#NAME?</v>
      </c>
      <c r="I57" s="3" t="e">
        <f t="shared" ca="1" si="9"/>
        <v>#NAME?</v>
      </c>
      <c r="J57" s="3"/>
      <c r="K57" s="3">
        <f t="shared" si="10"/>
        <v>365</v>
      </c>
      <c r="L57" s="3">
        <f t="shared" si="3"/>
        <v>12</v>
      </c>
      <c r="M57" s="3"/>
      <c r="N57" s="3"/>
      <c r="O57" s="3"/>
      <c r="P57" s="3">
        <v>7.4</v>
      </c>
      <c r="Q57" s="3">
        <v>29</v>
      </c>
      <c r="R57" s="3">
        <v>394</v>
      </c>
      <c r="S57" s="3" t="s">
        <v>21</v>
      </c>
      <c r="U57" s="3" t="s">
        <v>29</v>
      </c>
    </row>
    <row r="58" spans="1:21" x14ac:dyDescent="0.25">
      <c r="A58" s="3" t="s">
        <v>632</v>
      </c>
      <c r="B58" s="3" t="s">
        <v>633</v>
      </c>
      <c r="C58" s="3" t="s">
        <v>634</v>
      </c>
      <c r="D58" s="3" t="s">
        <v>635</v>
      </c>
      <c r="E58" s="3" t="s">
        <v>636</v>
      </c>
      <c r="F58" s="3" t="s">
        <v>637</v>
      </c>
      <c r="G58" s="3" t="e">
        <f t="shared" ca="1" si="7"/>
        <v>#NAME?</v>
      </c>
      <c r="H58" s="3" t="e">
        <f t="shared" ca="1" si="8"/>
        <v>#NAME?</v>
      </c>
      <c r="I58" s="3" t="e">
        <f t="shared" ca="1" si="9"/>
        <v>#NAME?</v>
      </c>
      <c r="J58" s="3"/>
      <c r="K58" s="3">
        <f t="shared" si="10"/>
        <v>365</v>
      </c>
      <c r="L58" s="3">
        <f t="shared" si="3"/>
        <v>12</v>
      </c>
      <c r="M58" s="3"/>
      <c r="N58" s="3"/>
      <c r="O58" s="3"/>
      <c r="P58" s="3">
        <v>1</v>
      </c>
      <c r="Q58" s="3">
        <v>4</v>
      </c>
      <c r="R58" s="3">
        <v>394</v>
      </c>
      <c r="S58" s="3" t="s">
        <v>21</v>
      </c>
      <c r="U58" s="3" t="s">
        <v>29</v>
      </c>
    </row>
    <row r="59" spans="1:21" x14ac:dyDescent="0.25">
      <c r="A59" s="3" t="s">
        <v>638</v>
      </c>
      <c r="B59" s="3" t="s">
        <v>639</v>
      </c>
      <c r="C59" s="3" t="s">
        <v>640</v>
      </c>
      <c r="D59" s="3" t="s">
        <v>641</v>
      </c>
      <c r="E59" s="3" t="s">
        <v>642</v>
      </c>
      <c r="F59" s="3" t="s">
        <v>643</v>
      </c>
      <c r="G59" s="3" t="e">
        <f t="shared" ca="1" si="7"/>
        <v>#NAME?</v>
      </c>
      <c r="H59" s="3" t="e">
        <f t="shared" ca="1" si="8"/>
        <v>#NAME?</v>
      </c>
      <c r="I59" s="3" t="e">
        <f t="shared" ca="1" si="9"/>
        <v>#NAME?</v>
      </c>
      <c r="J59" s="3"/>
      <c r="K59" s="3">
        <f t="shared" si="10"/>
        <v>365</v>
      </c>
      <c r="L59" s="3">
        <f t="shared" si="3"/>
        <v>12</v>
      </c>
      <c r="M59" s="3"/>
      <c r="N59" s="3"/>
      <c r="O59" s="3"/>
      <c r="P59" s="3">
        <v>0.8</v>
      </c>
      <c r="Q59" s="3">
        <v>3</v>
      </c>
      <c r="R59" s="3">
        <v>394</v>
      </c>
      <c r="S59" s="3" t="s">
        <v>21</v>
      </c>
      <c r="U59" s="3" t="s">
        <v>29</v>
      </c>
    </row>
    <row r="60" spans="1:21" x14ac:dyDescent="0.25">
      <c r="A60" s="3" t="s">
        <v>644</v>
      </c>
      <c r="B60" s="3" t="s">
        <v>645</v>
      </c>
      <c r="C60" s="3" t="s">
        <v>646</v>
      </c>
      <c r="D60" s="3" t="s">
        <v>647</v>
      </c>
      <c r="E60" s="3" t="s">
        <v>648</v>
      </c>
      <c r="F60" s="3" t="s">
        <v>649</v>
      </c>
      <c r="G60" s="3" t="e">
        <f t="shared" ca="1" si="7"/>
        <v>#NAME?</v>
      </c>
      <c r="H60" s="3" t="e">
        <f t="shared" ca="1" si="8"/>
        <v>#NAME?</v>
      </c>
      <c r="I60" s="3" t="e">
        <f t="shared" ca="1" si="9"/>
        <v>#NAME?</v>
      </c>
      <c r="J60" s="3"/>
      <c r="K60" s="3">
        <f t="shared" si="10"/>
        <v>365</v>
      </c>
      <c r="L60" s="3">
        <f t="shared" si="3"/>
        <v>12</v>
      </c>
      <c r="M60" s="3"/>
      <c r="N60" s="3"/>
      <c r="O60" s="3"/>
      <c r="P60" s="3">
        <v>4.5999999999999996</v>
      </c>
      <c r="Q60" s="3">
        <v>18</v>
      </c>
      <c r="R60" s="3">
        <v>394</v>
      </c>
      <c r="S60" s="3" t="s">
        <v>21</v>
      </c>
      <c r="U60" s="3" t="s">
        <v>29</v>
      </c>
    </row>
    <row r="61" spans="1:21" x14ac:dyDescent="0.25">
      <c r="A61" s="3" t="s">
        <v>650</v>
      </c>
      <c r="B61" s="3" t="s">
        <v>651</v>
      </c>
      <c r="C61" s="3" t="s">
        <v>652</v>
      </c>
      <c r="D61" s="3" t="s">
        <v>653</v>
      </c>
      <c r="E61" s="3" t="s">
        <v>654</v>
      </c>
      <c r="F61" s="3" t="s">
        <v>655</v>
      </c>
      <c r="G61" s="3" t="e">
        <f t="shared" ca="1" si="7"/>
        <v>#NAME?</v>
      </c>
      <c r="H61" s="3" t="e">
        <f t="shared" ca="1" si="8"/>
        <v>#NAME?</v>
      </c>
      <c r="I61" s="3" t="e">
        <f t="shared" ca="1" si="9"/>
        <v>#NAME?</v>
      </c>
      <c r="J61" s="3"/>
      <c r="K61" s="3">
        <f t="shared" si="10"/>
        <v>365</v>
      </c>
      <c r="L61" s="3">
        <f t="shared" si="3"/>
        <v>12</v>
      </c>
      <c r="M61" s="3"/>
      <c r="N61" s="3"/>
      <c r="O61" s="3"/>
      <c r="P61" s="3">
        <v>3.3</v>
      </c>
      <c r="Q61" s="3">
        <v>13</v>
      </c>
      <c r="R61" s="3">
        <v>394</v>
      </c>
      <c r="S61" s="3" t="s">
        <v>21</v>
      </c>
      <c r="U61" s="3" t="s">
        <v>29</v>
      </c>
    </row>
    <row r="62" spans="1:21" x14ac:dyDescent="0.25">
      <c r="A62" s="3" t="s">
        <v>656</v>
      </c>
      <c r="B62" s="3" t="s">
        <v>657</v>
      </c>
      <c r="C62" s="3" t="s">
        <v>658</v>
      </c>
      <c r="D62" s="3" t="s">
        <v>659</v>
      </c>
      <c r="E62" s="3" t="s">
        <v>660</v>
      </c>
      <c r="F62" s="3" t="s">
        <v>661</v>
      </c>
      <c r="G62" s="3" t="e">
        <f t="shared" ca="1" si="7"/>
        <v>#NAME?</v>
      </c>
      <c r="H62" s="3" t="e">
        <f t="shared" ca="1" si="8"/>
        <v>#NAME?</v>
      </c>
      <c r="I62" s="3" t="e">
        <f t="shared" ca="1" si="9"/>
        <v>#NAME?</v>
      </c>
      <c r="J62" s="3"/>
      <c r="K62" s="3">
        <f t="shared" si="10"/>
        <v>365</v>
      </c>
      <c r="L62" s="3">
        <f t="shared" si="3"/>
        <v>12</v>
      </c>
      <c r="M62" s="3"/>
      <c r="N62" s="3"/>
      <c r="O62" s="3"/>
      <c r="P62" s="3">
        <v>2</v>
      </c>
      <c r="Q62" s="3">
        <v>8</v>
      </c>
      <c r="R62" s="3">
        <v>394</v>
      </c>
      <c r="S62" s="3" t="s">
        <v>21</v>
      </c>
      <c r="U62" s="3" t="s">
        <v>29</v>
      </c>
    </row>
    <row r="63" spans="1:21" x14ac:dyDescent="0.25">
      <c r="A63" s="3" t="s">
        <v>662</v>
      </c>
      <c r="B63" s="3" t="s">
        <v>663</v>
      </c>
      <c r="C63" s="3" t="s">
        <v>664</v>
      </c>
      <c r="D63" s="3" t="s">
        <v>665</v>
      </c>
      <c r="E63" s="3" t="s">
        <v>666</v>
      </c>
      <c r="F63" s="3" t="s">
        <v>667</v>
      </c>
      <c r="G63" s="3" t="e">
        <f t="shared" ca="1" si="7"/>
        <v>#NAME?</v>
      </c>
      <c r="H63" s="3" t="e">
        <f t="shared" ca="1" si="8"/>
        <v>#NAME?</v>
      </c>
      <c r="I63" s="3" t="e">
        <f t="shared" ca="1" si="9"/>
        <v>#NAME?</v>
      </c>
      <c r="J63" s="3"/>
      <c r="K63" s="3">
        <f t="shared" si="10"/>
        <v>365</v>
      </c>
      <c r="L63" s="3">
        <f t="shared" si="3"/>
        <v>12</v>
      </c>
      <c r="M63" s="3"/>
      <c r="N63" s="3"/>
      <c r="O63" s="3"/>
      <c r="P63" s="3">
        <v>3</v>
      </c>
      <c r="Q63" s="3">
        <v>12</v>
      </c>
      <c r="R63" s="3">
        <v>394</v>
      </c>
      <c r="S63" s="3" t="s">
        <v>21</v>
      </c>
      <c r="U63" s="3" t="s">
        <v>29</v>
      </c>
    </row>
    <row r="64" spans="1:21" x14ac:dyDescent="0.25">
      <c r="A64" s="3" t="s">
        <v>668</v>
      </c>
      <c r="B64" s="3" t="s">
        <v>669</v>
      </c>
      <c r="C64" s="3" t="s">
        <v>670</v>
      </c>
      <c r="D64" s="3" t="s">
        <v>671</v>
      </c>
      <c r="E64" s="3" t="s">
        <v>672</v>
      </c>
      <c r="F64" s="3" t="s">
        <v>673</v>
      </c>
      <c r="G64" s="3" t="e">
        <f t="shared" ca="1" si="7"/>
        <v>#NAME?</v>
      </c>
      <c r="H64" s="3" t="e">
        <f t="shared" ca="1" si="8"/>
        <v>#NAME?</v>
      </c>
      <c r="I64" s="3" t="e">
        <f t="shared" ca="1" si="9"/>
        <v>#NAME?</v>
      </c>
      <c r="J64" s="3"/>
      <c r="K64" s="3">
        <f t="shared" si="10"/>
        <v>365</v>
      </c>
      <c r="L64" s="3">
        <f t="shared" si="3"/>
        <v>12</v>
      </c>
      <c r="M64" s="3"/>
      <c r="N64" s="3"/>
      <c r="O64" s="3"/>
      <c r="P64" s="3">
        <v>8.9</v>
      </c>
      <c r="Q64" s="3">
        <v>35</v>
      </c>
      <c r="R64" s="3">
        <v>394</v>
      </c>
      <c r="S64" s="3" t="s">
        <v>21</v>
      </c>
      <c r="U64" s="3" t="s">
        <v>29</v>
      </c>
    </row>
    <row r="65" spans="1:21" x14ac:dyDescent="0.25">
      <c r="A65" s="3" t="s">
        <v>674</v>
      </c>
      <c r="B65" s="3" t="s">
        <v>675</v>
      </c>
      <c r="C65" s="3" t="s">
        <v>676</v>
      </c>
      <c r="D65" s="3" t="s">
        <v>677</v>
      </c>
      <c r="E65" s="3" t="s">
        <v>678</v>
      </c>
      <c r="F65" s="3" t="s">
        <v>679</v>
      </c>
      <c r="G65" s="3" t="e">
        <f t="shared" ca="1" si="7"/>
        <v>#NAME?</v>
      </c>
      <c r="H65" s="3" t="e">
        <f t="shared" ca="1" si="8"/>
        <v>#NAME?</v>
      </c>
      <c r="I65" s="3" t="e">
        <f t="shared" ca="1" si="9"/>
        <v>#NAME?</v>
      </c>
      <c r="J65" s="3"/>
      <c r="K65" s="3">
        <f t="shared" si="10"/>
        <v>365</v>
      </c>
      <c r="L65" s="3">
        <f t="shared" si="3"/>
        <v>12</v>
      </c>
      <c r="M65" s="3"/>
      <c r="N65" s="3"/>
      <c r="O65" s="3"/>
      <c r="P65" s="3">
        <v>16.8</v>
      </c>
      <c r="Q65" s="3">
        <v>66</v>
      </c>
      <c r="R65" s="3">
        <v>394</v>
      </c>
      <c r="S65" s="3" t="s">
        <v>21</v>
      </c>
      <c r="U65" s="3" t="s">
        <v>29</v>
      </c>
    </row>
    <row r="66" spans="1:21" x14ac:dyDescent="0.25">
      <c r="A66" s="3" t="s">
        <v>680</v>
      </c>
      <c r="B66" s="3" t="s">
        <v>681</v>
      </c>
      <c r="C66" s="3" t="s">
        <v>682</v>
      </c>
      <c r="D66" s="3" t="s">
        <v>683</v>
      </c>
      <c r="E66" s="3" t="s">
        <v>684</v>
      </c>
      <c r="F66" s="3" t="s">
        <v>685</v>
      </c>
      <c r="G66" s="3" t="e">
        <f t="shared" ca="1" si="7"/>
        <v>#NAME?</v>
      </c>
      <c r="H66" s="3" t="e">
        <f t="shared" ca="1" si="8"/>
        <v>#NAME?</v>
      </c>
      <c r="I66" s="3" t="e">
        <f t="shared" ca="1" si="9"/>
        <v>#NAME?</v>
      </c>
      <c r="J66" s="3"/>
      <c r="K66" s="3">
        <f t="shared" si="10"/>
        <v>365</v>
      </c>
      <c r="L66" s="3">
        <f t="shared" si="3"/>
        <v>12</v>
      </c>
      <c r="M66" s="3"/>
      <c r="N66" s="3"/>
      <c r="O66" s="3"/>
      <c r="P66" s="3">
        <v>3.3</v>
      </c>
      <c r="Q66" s="3">
        <v>13</v>
      </c>
      <c r="R66" s="3">
        <v>394</v>
      </c>
      <c r="S66" s="3" t="s">
        <v>21</v>
      </c>
      <c r="U66" s="3" t="s">
        <v>29</v>
      </c>
    </row>
    <row r="67" spans="1:21" x14ac:dyDescent="0.25">
      <c r="A67" s="3" t="s">
        <v>686</v>
      </c>
      <c r="B67" s="3" t="s">
        <v>687</v>
      </c>
      <c r="C67" s="3" t="s">
        <v>688</v>
      </c>
      <c r="D67" s="3" t="s">
        <v>689</v>
      </c>
      <c r="E67" s="3" t="s">
        <v>690</v>
      </c>
      <c r="F67" s="3" t="s">
        <v>691</v>
      </c>
      <c r="G67" s="3" t="e">
        <f t="shared" ca="1" si="7"/>
        <v>#NAME?</v>
      </c>
      <c r="H67" s="3" t="e">
        <f t="shared" ca="1" si="8"/>
        <v>#NAME?</v>
      </c>
      <c r="I67" s="3" t="e">
        <f t="shared" ca="1" si="9"/>
        <v>#NAME?</v>
      </c>
      <c r="J67" s="3"/>
      <c r="K67" s="3">
        <f t="shared" si="10"/>
        <v>365</v>
      </c>
      <c r="L67" s="3">
        <f t="shared" si="3"/>
        <v>12</v>
      </c>
      <c r="M67" s="3"/>
      <c r="N67" s="3"/>
      <c r="O67" s="3"/>
      <c r="P67" s="3">
        <v>33.200000000000003</v>
      </c>
      <c r="Q67" s="3">
        <v>131</v>
      </c>
      <c r="R67" s="3">
        <v>394</v>
      </c>
      <c r="S67" s="3" t="s">
        <v>21</v>
      </c>
      <c r="U67" s="3" t="s">
        <v>29</v>
      </c>
    </row>
    <row r="68" spans="1:21" x14ac:dyDescent="0.25">
      <c r="A68" s="3" t="s">
        <v>692</v>
      </c>
      <c r="B68" s="3" t="s">
        <v>693</v>
      </c>
      <c r="C68" s="3" t="s">
        <v>694</v>
      </c>
      <c r="D68" s="3" t="s">
        <v>695</v>
      </c>
      <c r="E68" s="3" t="s">
        <v>696</v>
      </c>
      <c r="F68" s="3" t="s">
        <v>697</v>
      </c>
      <c r="G68" s="3" t="e">
        <f t="shared" ca="1" si="7"/>
        <v>#NAME?</v>
      </c>
      <c r="H68" s="3" t="e">
        <f t="shared" ca="1" si="8"/>
        <v>#NAME?</v>
      </c>
      <c r="I68" s="3" t="e">
        <f t="shared" ca="1" si="9"/>
        <v>#NAME?</v>
      </c>
      <c r="J68" s="3"/>
      <c r="K68" s="3">
        <f t="shared" si="10"/>
        <v>365</v>
      </c>
      <c r="L68" s="3">
        <f t="shared" si="3"/>
        <v>12</v>
      </c>
      <c r="M68" s="3"/>
      <c r="N68" s="3"/>
      <c r="O68" s="3"/>
      <c r="P68" s="3">
        <v>17.3</v>
      </c>
      <c r="Q68" s="3">
        <v>68</v>
      </c>
      <c r="R68" s="3">
        <v>394</v>
      </c>
      <c r="S68" s="3" t="s">
        <v>21</v>
      </c>
      <c r="U68" s="3" t="s">
        <v>29</v>
      </c>
    </row>
    <row r="69" spans="1:21" x14ac:dyDescent="0.25">
      <c r="A69" s="3" t="s">
        <v>48</v>
      </c>
      <c r="B69" s="3" t="s">
        <v>49</v>
      </c>
      <c r="C69" s="3" t="s">
        <v>50</v>
      </c>
      <c r="D69" s="3" t="s">
        <v>51</v>
      </c>
      <c r="E69" s="3" t="s">
        <v>698</v>
      </c>
      <c r="F69" s="3" t="s">
        <v>699</v>
      </c>
      <c r="G69" s="3" t="e">
        <f t="shared" ref="G69:G120" ca="1" si="11">_xludf.SWITCH(L69,
 1, "68d14982863c4aa13942378d",
 3, "68d14ab6863c4aa139423899",
 6, "68d14ab6863c4aa13942389b",
 12, "68d14ab6863c4aa13942389d",
 "Unknown")</f>
        <v>#NAME?</v>
      </c>
      <c r="H69" s="3" t="e">
        <f t="shared" ref="H69:H120" ca="1" si="12">_xludf.SWITCH(L69,
 1, 1,
 3, 3,
 6, 6,
 12, 1,
 "Unknown")</f>
        <v>#NAME?</v>
      </c>
      <c r="I69" s="3" t="e">
        <f t="shared" ref="I69:I120" ca="1" si="13">_xludf.SWITCH(L69,
 1, "month",
 3, "month",
 6, "month",
 12, "year",
 "Unknown")</f>
        <v>#NAME?</v>
      </c>
      <c r="J69" s="3"/>
      <c r="K69" s="3">
        <f t="shared" si="10"/>
        <v>369</v>
      </c>
      <c r="L69" s="3">
        <f t="shared" si="3"/>
        <v>12</v>
      </c>
      <c r="M69" s="3"/>
      <c r="N69" s="3"/>
      <c r="O69" s="3"/>
      <c r="P69" s="3">
        <v>12.9</v>
      </c>
      <c r="Q69" s="3">
        <v>51</v>
      </c>
      <c r="R69" s="3">
        <v>394</v>
      </c>
      <c r="S69" s="3" t="s">
        <v>21</v>
      </c>
      <c r="U69" s="3" t="s">
        <v>29</v>
      </c>
    </row>
    <row r="70" spans="1:21" x14ac:dyDescent="0.25">
      <c r="A70" s="3" t="s">
        <v>700</v>
      </c>
      <c r="B70" s="3" t="s">
        <v>701</v>
      </c>
      <c r="C70" s="3" t="s">
        <v>702</v>
      </c>
      <c r="D70" s="3" t="s">
        <v>703</v>
      </c>
      <c r="E70" s="3" t="s">
        <v>704</v>
      </c>
      <c r="F70" s="3" t="s">
        <v>705</v>
      </c>
      <c r="G70" s="3" t="e">
        <f t="shared" ca="1" si="11"/>
        <v>#NAME?</v>
      </c>
      <c r="H70" s="3" t="e">
        <f t="shared" ca="1" si="12"/>
        <v>#NAME?</v>
      </c>
      <c r="I70" s="3" t="e">
        <f t="shared" ca="1" si="13"/>
        <v>#NAME?</v>
      </c>
      <c r="J70" s="3"/>
      <c r="K70" s="3">
        <f t="shared" si="10"/>
        <v>365</v>
      </c>
      <c r="L70" s="3">
        <f t="shared" si="3"/>
        <v>12</v>
      </c>
      <c r="M70" s="3"/>
      <c r="N70" s="3"/>
      <c r="O70" s="3"/>
      <c r="P70" s="3">
        <v>14</v>
      </c>
      <c r="Q70" s="3">
        <v>55</v>
      </c>
      <c r="R70" s="3">
        <v>394</v>
      </c>
      <c r="S70" s="3" t="s">
        <v>21</v>
      </c>
      <c r="U70" s="3" t="s">
        <v>29</v>
      </c>
    </row>
    <row r="71" spans="1:21" x14ac:dyDescent="0.25">
      <c r="A71" s="3" t="s">
        <v>536</v>
      </c>
      <c r="B71" s="3" t="s">
        <v>706</v>
      </c>
      <c r="C71" s="3" t="s">
        <v>707</v>
      </c>
      <c r="D71" s="3" t="s">
        <v>708</v>
      </c>
      <c r="E71" s="3" t="s">
        <v>709</v>
      </c>
      <c r="F71" s="3" t="s">
        <v>710</v>
      </c>
      <c r="G71" s="3" t="e">
        <f t="shared" ca="1" si="11"/>
        <v>#NAME?</v>
      </c>
      <c r="H71" s="3" t="e">
        <f t="shared" ca="1" si="12"/>
        <v>#NAME?</v>
      </c>
      <c r="I71" s="3" t="e">
        <f t="shared" ca="1" si="13"/>
        <v>#NAME?</v>
      </c>
      <c r="J71" s="3"/>
      <c r="K71" s="3">
        <f t="shared" si="10"/>
        <v>365</v>
      </c>
      <c r="L71" s="3">
        <f t="shared" si="3"/>
        <v>12</v>
      </c>
      <c r="M71" s="3"/>
      <c r="N71" s="3"/>
      <c r="O71" s="3"/>
      <c r="P71" s="3">
        <v>26.1</v>
      </c>
      <c r="Q71" s="3">
        <v>103</v>
      </c>
      <c r="R71" s="3">
        <v>394</v>
      </c>
      <c r="S71" s="3" t="s">
        <v>21</v>
      </c>
      <c r="U71" s="3" t="s">
        <v>29</v>
      </c>
    </row>
    <row r="72" spans="1:21" x14ac:dyDescent="0.25">
      <c r="A72" s="3" t="s">
        <v>711</v>
      </c>
      <c r="B72" s="3" t="s">
        <v>712</v>
      </c>
      <c r="C72" s="3" t="s">
        <v>713</v>
      </c>
      <c r="D72" s="3" t="s">
        <v>714</v>
      </c>
      <c r="E72" s="3" t="s">
        <v>715</v>
      </c>
      <c r="F72" s="3" t="s">
        <v>716</v>
      </c>
      <c r="G72" s="3" t="e">
        <f t="shared" ca="1" si="11"/>
        <v>#NAME?</v>
      </c>
      <c r="H72" s="3" t="e">
        <f t="shared" ca="1" si="12"/>
        <v>#NAME?</v>
      </c>
      <c r="I72" s="3" t="e">
        <f t="shared" ca="1" si="13"/>
        <v>#NAME?</v>
      </c>
      <c r="J72" s="3"/>
      <c r="K72" s="3">
        <f t="shared" si="10"/>
        <v>365</v>
      </c>
      <c r="L72" s="3">
        <f t="shared" si="3"/>
        <v>12</v>
      </c>
      <c r="M72" s="3"/>
      <c r="N72" s="3"/>
      <c r="O72" s="3"/>
      <c r="P72" s="3">
        <v>8.9</v>
      </c>
      <c r="Q72" s="3">
        <v>35</v>
      </c>
      <c r="R72" s="3">
        <v>394</v>
      </c>
      <c r="S72" s="3" t="s">
        <v>21</v>
      </c>
      <c r="U72" s="3" t="s">
        <v>29</v>
      </c>
    </row>
    <row r="73" spans="1:21" x14ac:dyDescent="0.25">
      <c r="A73" s="3" t="s">
        <v>717</v>
      </c>
      <c r="B73" s="3" t="s">
        <v>718</v>
      </c>
      <c r="C73" s="3" t="s">
        <v>719</v>
      </c>
      <c r="D73" s="3" t="s">
        <v>720</v>
      </c>
      <c r="E73" s="3" t="s">
        <v>721</v>
      </c>
      <c r="F73" s="3" t="s">
        <v>722</v>
      </c>
      <c r="G73" s="3" t="e">
        <f t="shared" ca="1" si="11"/>
        <v>#NAME?</v>
      </c>
      <c r="H73" s="3" t="e">
        <f t="shared" ca="1" si="12"/>
        <v>#NAME?</v>
      </c>
      <c r="I73" s="3" t="e">
        <f t="shared" ca="1" si="13"/>
        <v>#NAME?</v>
      </c>
      <c r="J73" s="3"/>
      <c r="K73" s="3">
        <f t="shared" si="10"/>
        <v>365</v>
      </c>
      <c r="L73" s="3">
        <f t="shared" si="3"/>
        <v>12</v>
      </c>
      <c r="M73" s="3"/>
      <c r="N73" s="3"/>
      <c r="O73" s="3"/>
      <c r="P73" s="3">
        <v>1.8</v>
      </c>
      <c r="Q73" s="3">
        <v>7</v>
      </c>
      <c r="R73" s="3">
        <v>394</v>
      </c>
      <c r="S73" s="3" t="s">
        <v>21</v>
      </c>
      <c r="U73" s="3" t="s">
        <v>29</v>
      </c>
    </row>
    <row r="74" spans="1:21" x14ac:dyDescent="0.25">
      <c r="A74" s="3" t="s">
        <v>723</v>
      </c>
      <c r="B74" s="3" t="s">
        <v>724</v>
      </c>
      <c r="C74" s="3" t="s">
        <v>725</v>
      </c>
      <c r="D74" s="3" t="s">
        <v>726</v>
      </c>
      <c r="E74" s="3" t="s">
        <v>727</v>
      </c>
      <c r="F74" s="3" t="s">
        <v>728</v>
      </c>
      <c r="G74" s="3" t="e">
        <f t="shared" ca="1" si="11"/>
        <v>#NAME?</v>
      </c>
      <c r="H74" s="3" t="e">
        <f t="shared" ca="1" si="12"/>
        <v>#NAME?</v>
      </c>
      <c r="I74" s="3" t="e">
        <f t="shared" ca="1" si="13"/>
        <v>#NAME?</v>
      </c>
      <c r="J74" s="3"/>
      <c r="K74" s="3">
        <f t="shared" si="10"/>
        <v>365</v>
      </c>
      <c r="L74" s="3">
        <f t="shared" si="3"/>
        <v>12</v>
      </c>
      <c r="M74" s="3"/>
      <c r="N74" s="3"/>
      <c r="O74" s="3"/>
      <c r="P74" s="3">
        <v>1.5</v>
      </c>
      <c r="Q74" s="3">
        <v>6</v>
      </c>
      <c r="R74" s="3">
        <v>394</v>
      </c>
      <c r="S74" s="3" t="s">
        <v>21</v>
      </c>
      <c r="U74" s="3" t="s">
        <v>29</v>
      </c>
    </row>
    <row r="75" spans="1:21" x14ac:dyDescent="0.25">
      <c r="A75" s="3" t="s">
        <v>729</v>
      </c>
      <c r="B75" s="3" t="s">
        <v>730</v>
      </c>
      <c r="C75" s="3" t="s">
        <v>731</v>
      </c>
      <c r="D75" s="3" t="s">
        <v>732</v>
      </c>
      <c r="E75" s="3" t="s">
        <v>733</v>
      </c>
      <c r="F75" s="3" t="s">
        <v>734</v>
      </c>
      <c r="G75" s="3" t="e">
        <f t="shared" ca="1" si="11"/>
        <v>#NAME?</v>
      </c>
      <c r="H75" s="3" t="e">
        <f t="shared" ca="1" si="12"/>
        <v>#NAME?</v>
      </c>
      <c r="I75" s="3" t="e">
        <f t="shared" ca="1" si="13"/>
        <v>#NAME?</v>
      </c>
      <c r="J75" s="3"/>
      <c r="K75" s="3">
        <f t="shared" si="10"/>
        <v>365</v>
      </c>
      <c r="L75" s="3">
        <f t="shared" si="3"/>
        <v>12</v>
      </c>
      <c r="M75" s="3"/>
      <c r="N75" s="3"/>
      <c r="O75" s="3"/>
      <c r="P75" s="3">
        <v>18.8</v>
      </c>
      <c r="Q75" s="3">
        <v>74</v>
      </c>
      <c r="R75" s="3">
        <v>394</v>
      </c>
      <c r="S75" s="3" t="s">
        <v>21</v>
      </c>
      <c r="U75" s="3" t="s">
        <v>29</v>
      </c>
    </row>
    <row r="76" spans="1:21" x14ac:dyDescent="0.25">
      <c r="A76" s="3" t="s">
        <v>735</v>
      </c>
      <c r="B76" s="3" t="s">
        <v>736</v>
      </c>
      <c r="C76" s="3" t="s">
        <v>737</v>
      </c>
      <c r="D76" s="3" t="s">
        <v>738</v>
      </c>
      <c r="E76" s="3" t="s">
        <v>739</v>
      </c>
      <c r="F76" s="3" t="s">
        <v>740</v>
      </c>
      <c r="G76" s="3" t="e">
        <f t="shared" ca="1" si="11"/>
        <v>#NAME?</v>
      </c>
      <c r="H76" s="3" t="e">
        <f t="shared" ca="1" si="12"/>
        <v>#NAME?</v>
      </c>
      <c r="I76" s="3" t="e">
        <f t="shared" ca="1" si="13"/>
        <v>#NAME?</v>
      </c>
      <c r="J76" s="3"/>
      <c r="K76" s="3">
        <f t="shared" si="10"/>
        <v>365</v>
      </c>
      <c r="L76" s="3">
        <f t="shared" si="3"/>
        <v>12</v>
      </c>
      <c r="M76" s="3"/>
      <c r="N76" s="3"/>
      <c r="O76" s="3"/>
      <c r="P76" s="3">
        <v>1.3</v>
      </c>
      <c r="Q76" s="3">
        <v>5</v>
      </c>
      <c r="R76" s="3">
        <v>394</v>
      </c>
      <c r="S76" s="3" t="s">
        <v>21</v>
      </c>
      <c r="U76" s="3" t="s">
        <v>29</v>
      </c>
    </row>
    <row r="77" spans="1:21" x14ac:dyDescent="0.25">
      <c r="A77" s="3" t="s">
        <v>741</v>
      </c>
      <c r="B77" s="3" t="s">
        <v>742</v>
      </c>
      <c r="C77" s="3" t="s">
        <v>743</v>
      </c>
      <c r="D77" s="3" t="s">
        <v>744</v>
      </c>
      <c r="E77" s="3" t="s">
        <v>745</v>
      </c>
      <c r="F77" s="3" t="s">
        <v>746</v>
      </c>
      <c r="G77" s="3" t="e">
        <f t="shared" ca="1" si="11"/>
        <v>#NAME?</v>
      </c>
      <c r="H77" s="3" t="e">
        <f t="shared" ca="1" si="12"/>
        <v>#NAME?</v>
      </c>
      <c r="I77" s="3" t="e">
        <f t="shared" ca="1" si="13"/>
        <v>#NAME?</v>
      </c>
      <c r="J77" s="3"/>
      <c r="K77" s="3">
        <f t="shared" si="10"/>
        <v>365</v>
      </c>
      <c r="L77" s="3">
        <f t="shared" si="3"/>
        <v>12</v>
      </c>
      <c r="M77" s="3"/>
      <c r="N77" s="3"/>
      <c r="O77" s="3"/>
      <c r="P77" s="3">
        <v>0.8</v>
      </c>
      <c r="Q77" s="3">
        <v>3</v>
      </c>
      <c r="R77" s="3">
        <v>394</v>
      </c>
      <c r="S77" s="3" t="s">
        <v>21</v>
      </c>
      <c r="U77" s="3" t="s">
        <v>29</v>
      </c>
    </row>
    <row r="78" spans="1:21" x14ac:dyDescent="0.25">
      <c r="A78" s="3" t="s">
        <v>747</v>
      </c>
      <c r="B78" s="3" t="s">
        <v>748</v>
      </c>
      <c r="C78" s="3" t="s">
        <v>749</v>
      </c>
      <c r="D78" s="3" t="s">
        <v>750</v>
      </c>
      <c r="E78" s="3" t="s">
        <v>751</v>
      </c>
      <c r="F78" s="3" t="s">
        <v>752</v>
      </c>
      <c r="G78" s="3" t="e">
        <f t="shared" ca="1" si="11"/>
        <v>#NAME?</v>
      </c>
      <c r="H78" s="3" t="e">
        <f t="shared" ca="1" si="12"/>
        <v>#NAME?</v>
      </c>
      <c r="I78" s="3" t="e">
        <f t="shared" ca="1" si="13"/>
        <v>#NAME?</v>
      </c>
      <c r="J78" s="3"/>
      <c r="K78" s="3">
        <f t="shared" si="10"/>
        <v>365</v>
      </c>
      <c r="L78" s="3">
        <f t="shared" si="3"/>
        <v>12</v>
      </c>
      <c r="M78" s="3"/>
      <c r="N78" s="3"/>
      <c r="O78" s="3"/>
      <c r="P78" s="3">
        <v>1.5</v>
      </c>
      <c r="Q78" s="3">
        <v>6</v>
      </c>
      <c r="R78" s="3">
        <v>394</v>
      </c>
      <c r="S78" s="3" t="s">
        <v>21</v>
      </c>
      <c r="U78" s="3" t="s">
        <v>29</v>
      </c>
    </row>
    <row r="79" spans="1:21" x14ac:dyDescent="0.25">
      <c r="A79" s="3" t="s">
        <v>753</v>
      </c>
      <c r="B79" s="3" t="s">
        <v>754</v>
      </c>
      <c r="C79" s="3" t="s">
        <v>755</v>
      </c>
      <c r="D79" s="3" t="s">
        <v>756</v>
      </c>
      <c r="E79" s="3" t="s">
        <v>757</v>
      </c>
      <c r="F79" s="3" t="s">
        <v>758</v>
      </c>
      <c r="G79" s="3" t="e">
        <f t="shared" ca="1" si="11"/>
        <v>#NAME?</v>
      </c>
      <c r="H79" s="3" t="e">
        <f t="shared" ca="1" si="12"/>
        <v>#NAME?</v>
      </c>
      <c r="I79" s="3" t="e">
        <f t="shared" ca="1" si="13"/>
        <v>#NAME?</v>
      </c>
      <c r="J79" s="3"/>
      <c r="K79" s="3">
        <f t="shared" si="10"/>
        <v>365</v>
      </c>
      <c r="L79" s="3">
        <f t="shared" si="3"/>
        <v>12</v>
      </c>
      <c r="M79" s="3"/>
      <c r="N79" s="3"/>
      <c r="O79" s="3"/>
      <c r="P79" s="3">
        <v>1</v>
      </c>
      <c r="Q79" s="3">
        <v>4</v>
      </c>
      <c r="R79" s="3">
        <v>394</v>
      </c>
      <c r="S79" s="3" t="s">
        <v>21</v>
      </c>
      <c r="U79" s="3" t="s">
        <v>29</v>
      </c>
    </row>
    <row r="80" spans="1:21" x14ac:dyDescent="0.25">
      <c r="A80" s="3" t="s">
        <v>759</v>
      </c>
      <c r="B80" s="3" t="s">
        <v>760</v>
      </c>
      <c r="C80" s="3" t="s">
        <v>761</v>
      </c>
      <c r="D80" s="3" t="s">
        <v>762</v>
      </c>
      <c r="E80" s="3" t="s">
        <v>763</v>
      </c>
      <c r="F80" s="3" t="s">
        <v>764</v>
      </c>
      <c r="G80" s="3" t="e">
        <f t="shared" ca="1" si="11"/>
        <v>#NAME?</v>
      </c>
      <c r="H80" s="3" t="e">
        <f t="shared" ca="1" si="12"/>
        <v>#NAME?</v>
      </c>
      <c r="I80" s="3" t="e">
        <f t="shared" ca="1" si="13"/>
        <v>#NAME?</v>
      </c>
      <c r="J80" s="3"/>
      <c r="K80" s="3">
        <f t="shared" si="10"/>
        <v>365</v>
      </c>
      <c r="L80" s="3">
        <f t="shared" si="3"/>
        <v>12</v>
      </c>
      <c r="M80" s="3"/>
      <c r="N80" s="3"/>
      <c r="O80" s="3"/>
      <c r="P80" s="3">
        <v>0</v>
      </c>
      <c r="Q80" s="3">
        <v>0</v>
      </c>
      <c r="R80" s="3">
        <v>394</v>
      </c>
      <c r="S80" s="3" t="s">
        <v>21</v>
      </c>
      <c r="U80" s="3" t="s">
        <v>29</v>
      </c>
    </row>
    <row r="81" spans="1:21" x14ac:dyDescent="0.25">
      <c r="A81" s="3" t="s">
        <v>765</v>
      </c>
      <c r="B81" s="3" t="s">
        <v>766</v>
      </c>
      <c r="C81" s="3" t="s">
        <v>767</v>
      </c>
      <c r="D81" s="3" t="s">
        <v>768</v>
      </c>
      <c r="E81" s="3" t="s">
        <v>769</v>
      </c>
      <c r="F81" s="3" t="s">
        <v>770</v>
      </c>
      <c r="G81" s="3" t="e">
        <f t="shared" ca="1" si="11"/>
        <v>#NAME?</v>
      </c>
      <c r="H81" s="3" t="e">
        <f t="shared" ca="1" si="12"/>
        <v>#NAME?</v>
      </c>
      <c r="I81" s="3" t="e">
        <f t="shared" ca="1" si="13"/>
        <v>#NAME?</v>
      </c>
      <c r="J81" s="3"/>
      <c r="K81" s="3">
        <f t="shared" si="10"/>
        <v>365</v>
      </c>
      <c r="L81" s="3">
        <f t="shared" si="3"/>
        <v>12</v>
      </c>
      <c r="M81" s="3"/>
      <c r="N81" s="3"/>
      <c r="O81" s="3"/>
      <c r="P81" s="3">
        <v>9.6</v>
      </c>
      <c r="Q81" s="3">
        <v>38</v>
      </c>
      <c r="R81" s="3">
        <v>394</v>
      </c>
      <c r="S81" s="3" t="s">
        <v>21</v>
      </c>
      <c r="U81" s="3" t="s">
        <v>29</v>
      </c>
    </row>
    <row r="82" spans="1:21" x14ac:dyDescent="0.25">
      <c r="A82" s="3" t="s">
        <v>771</v>
      </c>
      <c r="B82" s="3" t="s">
        <v>772</v>
      </c>
      <c r="C82" s="3" t="s">
        <v>773</v>
      </c>
      <c r="D82" s="3" t="s">
        <v>774</v>
      </c>
      <c r="E82" s="3" t="s">
        <v>775</v>
      </c>
      <c r="F82" s="3" t="s">
        <v>776</v>
      </c>
      <c r="G82" s="3" t="e">
        <f t="shared" ca="1" si="11"/>
        <v>#NAME?</v>
      </c>
      <c r="H82" s="3" t="e">
        <f t="shared" ca="1" si="12"/>
        <v>#NAME?</v>
      </c>
      <c r="I82" s="3" t="e">
        <f t="shared" ca="1" si="13"/>
        <v>#NAME?</v>
      </c>
      <c r="J82" s="3"/>
      <c r="K82" s="3">
        <f t="shared" si="10"/>
        <v>365</v>
      </c>
      <c r="L82" s="3">
        <f t="shared" si="3"/>
        <v>12</v>
      </c>
      <c r="M82" s="3"/>
      <c r="N82" s="3"/>
      <c r="O82" s="3"/>
      <c r="P82" s="3">
        <v>0</v>
      </c>
      <c r="Q82" s="3">
        <v>0</v>
      </c>
      <c r="R82" s="3">
        <v>394</v>
      </c>
      <c r="S82" s="3" t="s">
        <v>21</v>
      </c>
      <c r="U82" s="3" t="s">
        <v>29</v>
      </c>
    </row>
    <row r="83" spans="1:21" x14ac:dyDescent="0.25">
      <c r="A83" s="3" t="s">
        <v>777</v>
      </c>
      <c r="B83" s="3" t="s">
        <v>778</v>
      </c>
      <c r="C83" s="3" t="s">
        <v>779</v>
      </c>
      <c r="D83" s="3" t="s">
        <v>780</v>
      </c>
      <c r="E83" s="3" t="s">
        <v>781</v>
      </c>
      <c r="F83" s="3" t="s">
        <v>782</v>
      </c>
      <c r="G83" s="3" t="e">
        <f t="shared" ca="1" si="11"/>
        <v>#NAME?</v>
      </c>
      <c r="H83" s="3" t="e">
        <f t="shared" ca="1" si="12"/>
        <v>#NAME?</v>
      </c>
      <c r="I83" s="3" t="e">
        <f t="shared" ca="1" si="13"/>
        <v>#NAME?</v>
      </c>
      <c r="J83" s="3"/>
      <c r="K83" s="3">
        <f t="shared" si="10"/>
        <v>365</v>
      </c>
      <c r="L83" s="3">
        <f t="shared" si="3"/>
        <v>12</v>
      </c>
      <c r="M83" s="3"/>
      <c r="N83" s="3"/>
      <c r="O83" s="3"/>
      <c r="P83" s="3">
        <v>3.3</v>
      </c>
      <c r="Q83" s="3">
        <v>13</v>
      </c>
      <c r="R83" s="3">
        <v>394</v>
      </c>
      <c r="S83" s="3" t="s">
        <v>21</v>
      </c>
      <c r="U83" s="3" t="s">
        <v>29</v>
      </c>
    </row>
    <row r="84" spans="1:21" x14ac:dyDescent="0.25">
      <c r="A84" s="3" t="s">
        <v>783</v>
      </c>
      <c r="B84" s="3" t="s">
        <v>784</v>
      </c>
      <c r="C84" s="3" t="s">
        <v>785</v>
      </c>
      <c r="D84" s="3" t="s">
        <v>786</v>
      </c>
      <c r="E84" s="3" t="s">
        <v>787</v>
      </c>
      <c r="F84" s="3" t="s">
        <v>788</v>
      </c>
      <c r="G84" s="3" t="e">
        <f t="shared" ca="1" si="11"/>
        <v>#NAME?</v>
      </c>
      <c r="H84" s="3" t="e">
        <f t="shared" ca="1" si="12"/>
        <v>#NAME?</v>
      </c>
      <c r="I84" s="3" t="e">
        <f t="shared" ca="1" si="13"/>
        <v>#NAME?</v>
      </c>
      <c r="J84" s="3"/>
      <c r="K84" s="3">
        <f t="shared" si="10"/>
        <v>365</v>
      </c>
      <c r="L84" s="3">
        <f t="shared" si="3"/>
        <v>12</v>
      </c>
      <c r="M84" s="3"/>
      <c r="N84" s="3"/>
      <c r="O84" s="3"/>
      <c r="P84" s="3">
        <v>6.1</v>
      </c>
      <c r="Q84" s="3">
        <v>24</v>
      </c>
      <c r="R84" s="3">
        <v>394</v>
      </c>
      <c r="S84" s="3" t="s">
        <v>21</v>
      </c>
      <c r="U84" s="3" t="s">
        <v>29</v>
      </c>
    </row>
    <row r="85" spans="1:21" x14ac:dyDescent="0.25">
      <c r="A85" s="3" t="s">
        <v>789</v>
      </c>
      <c r="B85" s="3" t="s">
        <v>790</v>
      </c>
      <c r="C85" s="3" t="s">
        <v>791</v>
      </c>
      <c r="D85" s="3" t="s">
        <v>792</v>
      </c>
      <c r="E85" s="3" t="s">
        <v>793</v>
      </c>
      <c r="F85" s="3" t="s">
        <v>794</v>
      </c>
      <c r="G85" s="3" t="e">
        <f t="shared" ca="1" si="11"/>
        <v>#NAME?</v>
      </c>
      <c r="H85" s="3" t="e">
        <f t="shared" ca="1" si="12"/>
        <v>#NAME?</v>
      </c>
      <c r="I85" s="3" t="e">
        <f t="shared" ca="1" si="13"/>
        <v>#NAME?</v>
      </c>
      <c r="J85" s="3"/>
      <c r="K85" s="3">
        <f t="shared" si="10"/>
        <v>365</v>
      </c>
      <c r="L85" s="3">
        <f t="shared" si="3"/>
        <v>12</v>
      </c>
      <c r="M85" s="3"/>
      <c r="N85" s="3"/>
      <c r="O85" s="3"/>
      <c r="P85" s="3">
        <v>5.3</v>
      </c>
      <c r="Q85" s="3">
        <v>21</v>
      </c>
      <c r="R85" s="3">
        <v>394</v>
      </c>
      <c r="S85" s="3" t="s">
        <v>21</v>
      </c>
      <c r="U85" s="3" t="s">
        <v>29</v>
      </c>
    </row>
    <row r="86" spans="1:21" x14ac:dyDescent="0.25">
      <c r="A86" s="3" t="s">
        <v>795</v>
      </c>
      <c r="B86" s="3" t="s">
        <v>796</v>
      </c>
      <c r="C86" s="3" t="s">
        <v>797</v>
      </c>
      <c r="D86" s="3" t="s">
        <v>798</v>
      </c>
      <c r="E86" s="3" t="s">
        <v>799</v>
      </c>
      <c r="F86" s="3" t="s">
        <v>800</v>
      </c>
      <c r="G86" s="3" t="e">
        <f t="shared" ca="1" si="11"/>
        <v>#NAME?</v>
      </c>
      <c r="H86" s="3" t="e">
        <f t="shared" ca="1" si="12"/>
        <v>#NAME?</v>
      </c>
      <c r="I86" s="3" t="e">
        <f t="shared" ca="1" si="13"/>
        <v>#NAME?</v>
      </c>
      <c r="J86" s="3"/>
      <c r="K86" s="3">
        <f t="shared" si="10"/>
        <v>365</v>
      </c>
      <c r="L86" s="3">
        <f t="shared" si="3"/>
        <v>12</v>
      </c>
      <c r="M86" s="3"/>
      <c r="N86" s="3"/>
      <c r="O86" s="3"/>
      <c r="P86" s="3">
        <v>0.5</v>
      </c>
      <c r="Q86" s="3">
        <v>2</v>
      </c>
      <c r="R86" s="3">
        <v>394</v>
      </c>
      <c r="S86" s="3" t="s">
        <v>21</v>
      </c>
      <c r="U86" s="3" t="s">
        <v>29</v>
      </c>
    </row>
    <row r="87" spans="1:21" x14ac:dyDescent="0.25">
      <c r="A87" s="3" t="s">
        <v>801</v>
      </c>
      <c r="B87" s="3" t="s">
        <v>802</v>
      </c>
      <c r="C87" s="3" t="s">
        <v>803</v>
      </c>
      <c r="D87" s="3" t="s">
        <v>804</v>
      </c>
      <c r="E87" s="3" t="s">
        <v>805</v>
      </c>
      <c r="F87" s="3" t="s">
        <v>806</v>
      </c>
      <c r="G87" s="3" t="e">
        <f t="shared" ca="1" si="11"/>
        <v>#NAME?</v>
      </c>
      <c r="H87" s="3" t="e">
        <f t="shared" ca="1" si="12"/>
        <v>#NAME?</v>
      </c>
      <c r="I87" s="3" t="e">
        <f t="shared" ca="1" si="13"/>
        <v>#NAME?</v>
      </c>
      <c r="J87" s="3"/>
      <c r="K87" s="3">
        <f t="shared" si="10"/>
        <v>365</v>
      </c>
      <c r="L87" s="3">
        <f t="shared" si="3"/>
        <v>12</v>
      </c>
      <c r="M87" s="3"/>
      <c r="N87" s="3"/>
      <c r="O87" s="3"/>
      <c r="P87" s="3">
        <v>4.0999999999999996</v>
      </c>
      <c r="Q87" s="3">
        <v>16</v>
      </c>
      <c r="R87" s="3">
        <v>394</v>
      </c>
      <c r="S87" s="3" t="s">
        <v>21</v>
      </c>
      <c r="U87" s="3" t="s">
        <v>29</v>
      </c>
    </row>
    <row r="88" spans="1:21" x14ac:dyDescent="0.25">
      <c r="A88" s="3" t="s">
        <v>807</v>
      </c>
      <c r="B88" s="3" t="s">
        <v>808</v>
      </c>
      <c r="C88" s="3" t="s">
        <v>809</v>
      </c>
      <c r="D88" s="3" t="s">
        <v>810</v>
      </c>
      <c r="E88" s="3" t="s">
        <v>811</v>
      </c>
      <c r="F88" s="3" t="s">
        <v>812</v>
      </c>
      <c r="G88" s="3" t="e">
        <f t="shared" ca="1" si="11"/>
        <v>#NAME?</v>
      </c>
      <c r="H88" s="3" t="e">
        <f t="shared" ca="1" si="12"/>
        <v>#NAME?</v>
      </c>
      <c r="I88" s="3" t="e">
        <f t="shared" ca="1" si="13"/>
        <v>#NAME?</v>
      </c>
      <c r="J88" s="3"/>
      <c r="K88" s="3">
        <f t="shared" si="10"/>
        <v>365</v>
      </c>
      <c r="L88" s="3">
        <f t="shared" si="3"/>
        <v>12</v>
      </c>
      <c r="M88" s="3"/>
      <c r="N88" s="3"/>
      <c r="O88" s="3"/>
      <c r="P88" s="3">
        <v>0</v>
      </c>
      <c r="Q88" s="3">
        <v>0</v>
      </c>
      <c r="R88" s="3">
        <v>394</v>
      </c>
      <c r="S88" s="3" t="s">
        <v>21</v>
      </c>
      <c r="U88" s="3" t="s">
        <v>29</v>
      </c>
    </row>
    <row r="89" spans="1:21" x14ac:dyDescent="0.25">
      <c r="A89" s="3" t="s">
        <v>813</v>
      </c>
      <c r="B89" s="3" t="s">
        <v>814</v>
      </c>
      <c r="C89" s="3" t="s">
        <v>815</v>
      </c>
      <c r="D89" s="3" t="s">
        <v>816</v>
      </c>
      <c r="E89" s="3" t="s">
        <v>817</v>
      </c>
      <c r="F89" s="3" t="s">
        <v>818</v>
      </c>
      <c r="G89" s="3" t="e">
        <f t="shared" ca="1" si="11"/>
        <v>#NAME?</v>
      </c>
      <c r="H89" s="3" t="e">
        <f t="shared" ca="1" si="12"/>
        <v>#NAME?</v>
      </c>
      <c r="I89" s="3" t="e">
        <f t="shared" ca="1" si="13"/>
        <v>#NAME?</v>
      </c>
      <c r="J89" s="3"/>
      <c r="K89" s="3">
        <f t="shared" si="10"/>
        <v>365</v>
      </c>
      <c r="L89" s="3">
        <f t="shared" si="3"/>
        <v>12</v>
      </c>
      <c r="M89" s="3"/>
      <c r="N89" s="3"/>
      <c r="O89" s="3"/>
      <c r="P89" s="3">
        <v>7.1</v>
      </c>
      <c r="Q89" s="3">
        <v>28</v>
      </c>
      <c r="R89" s="3">
        <v>394</v>
      </c>
      <c r="S89" s="3" t="s">
        <v>21</v>
      </c>
      <c r="U89" s="3" t="s">
        <v>29</v>
      </c>
    </row>
    <row r="90" spans="1:21" x14ac:dyDescent="0.25">
      <c r="A90" s="3" t="s">
        <v>819</v>
      </c>
      <c r="B90" s="3" t="s">
        <v>820</v>
      </c>
      <c r="C90" s="3" t="s">
        <v>821</v>
      </c>
      <c r="D90" s="3" t="s">
        <v>822</v>
      </c>
      <c r="E90" s="3" t="s">
        <v>823</v>
      </c>
      <c r="F90" s="3" t="s">
        <v>824</v>
      </c>
      <c r="G90" s="3" t="e">
        <f t="shared" ca="1" si="11"/>
        <v>#NAME?</v>
      </c>
      <c r="H90" s="3" t="e">
        <f t="shared" ca="1" si="12"/>
        <v>#NAME?</v>
      </c>
      <c r="I90" s="3" t="e">
        <f t="shared" ca="1" si="13"/>
        <v>#NAME?</v>
      </c>
      <c r="J90" s="3"/>
      <c r="K90" s="3">
        <f t="shared" si="10"/>
        <v>184</v>
      </c>
      <c r="L90" s="3">
        <f t="shared" si="3"/>
        <v>6</v>
      </c>
      <c r="M90" s="3"/>
      <c r="N90" s="3"/>
      <c r="O90" s="3"/>
      <c r="P90" s="3">
        <v>7.9</v>
      </c>
      <c r="Q90" s="3">
        <v>31</v>
      </c>
      <c r="R90" s="3">
        <v>394</v>
      </c>
      <c r="S90" s="3" t="s">
        <v>21</v>
      </c>
      <c r="U90" s="3" t="s">
        <v>29</v>
      </c>
    </row>
    <row r="91" spans="1:21" x14ac:dyDescent="0.25">
      <c r="A91" s="3" t="s">
        <v>825</v>
      </c>
      <c r="B91" s="3" t="s">
        <v>826</v>
      </c>
      <c r="C91" s="3" t="s">
        <v>827</v>
      </c>
      <c r="D91" s="3" t="s">
        <v>828</v>
      </c>
      <c r="E91" s="3" t="s">
        <v>829</v>
      </c>
      <c r="F91" s="3" t="s">
        <v>830</v>
      </c>
      <c r="G91" s="3" t="e">
        <f t="shared" ca="1" si="11"/>
        <v>#NAME?</v>
      </c>
      <c r="H91" s="3" t="e">
        <f t="shared" ca="1" si="12"/>
        <v>#NAME?</v>
      </c>
      <c r="I91" s="3" t="e">
        <f t="shared" ca="1" si="13"/>
        <v>#NAME?</v>
      </c>
      <c r="J91" s="3"/>
      <c r="K91" s="3">
        <f t="shared" si="10"/>
        <v>365</v>
      </c>
      <c r="L91" s="3">
        <f t="shared" si="3"/>
        <v>12</v>
      </c>
      <c r="M91" s="3"/>
      <c r="N91" s="3"/>
      <c r="O91" s="3"/>
      <c r="P91" s="3">
        <v>68.8</v>
      </c>
      <c r="Q91" s="3">
        <v>271</v>
      </c>
      <c r="R91" s="3">
        <v>394</v>
      </c>
      <c r="S91" s="3" t="s">
        <v>21</v>
      </c>
      <c r="U91" s="3" t="s">
        <v>29</v>
      </c>
    </row>
    <row r="92" spans="1:21" x14ac:dyDescent="0.25">
      <c r="A92" s="3" t="s">
        <v>831</v>
      </c>
      <c r="B92" s="3" t="s">
        <v>832</v>
      </c>
      <c r="C92" s="3" t="s">
        <v>833</v>
      </c>
      <c r="D92" s="3" t="s">
        <v>834</v>
      </c>
      <c r="E92" s="3" t="s">
        <v>835</v>
      </c>
      <c r="F92" s="3" t="s">
        <v>836</v>
      </c>
      <c r="G92" s="3" t="e">
        <f t="shared" ca="1" si="11"/>
        <v>#NAME?</v>
      </c>
      <c r="H92" s="3" t="e">
        <f t="shared" ca="1" si="12"/>
        <v>#NAME?</v>
      </c>
      <c r="I92" s="3" t="e">
        <f t="shared" ca="1" si="13"/>
        <v>#NAME?</v>
      </c>
      <c r="J92" s="3"/>
      <c r="K92" s="3">
        <f t="shared" si="10"/>
        <v>365</v>
      </c>
      <c r="L92" s="3">
        <f t="shared" si="3"/>
        <v>12</v>
      </c>
      <c r="M92" s="3"/>
      <c r="N92" s="3"/>
      <c r="O92" s="3"/>
      <c r="P92" s="3">
        <v>34</v>
      </c>
      <c r="Q92" s="3">
        <v>134</v>
      </c>
      <c r="R92" s="3">
        <v>394</v>
      </c>
      <c r="S92" s="3" t="s">
        <v>21</v>
      </c>
      <c r="U92" s="3" t="s">
        <v>29</v>
      </c>
    </row>
    <row r="93" spans="1:21" x14ac:dyDescent="0.25">
      <c r="A93" s="3" t="s">
        <v>837</v>
      </c>
      <c r="B93" s="3" t="s">
        <v>838</v>
      </c>
      <c r="C93" s="3" t="s">
        <v>839</v>
      </c>
      <c r="D93" s="3" t="s">
        <v>840</v>
      </c>
      <c r="E93" s="3" t="s">
        <v>841</v>
      </c>
      <c r="F93" s="3" t="s">
        <v>842</v>
      </c>
      <c r="G93" s="3" t="e">
        <f t="shared" ca="1" si="11"/>
        <v>#NAME?</v>
      </c>
      <c r="H93" s="3" t="e">
        <f t="shared" ca="1" si="12"/>
        <v>#NAME?</v>
      </c>
      <c r="I93" s="3" t="e">
        <f t="shared" ca="1" si="13"/>
        <v>#NAME?</v>
      </c>
      <c r="J93" s="3"/>
      <c r="K93" s="3">
        <f t="shared" si="10"/>
        <v>36524</v>
      </c>
      <c r="L93" s="3">
        <f t="shared" si="3"/>
        <v>1200</v>
      </c>
      <c r="M93" s="3"/>
      <c r="N93" s="3"/>
      <c r="O93" s="3"/>
      <c r="P93" s="3">
        <v>0.5</v>
      </c>
      <c r="Q93" s="3">
        <v>2</v>
      </c>
      <c r="R93" s="3">
        <v>394</v>
      </c>
      <c r="S93" s="3" t="s">
        <v>21</v>
      </c>
      <c r="U93" s="3" t="s">
        <v>29</v>
      </c>
    </row>
    <row r="94" spans="1:21" x14ac:dyDescent="0.25">
      <c r="A94" s="3" t="s">
        <v>843</v>
      </c>
      <c r="B94" s="3" t="s">
        <v>844</v>
      </c>
      <c r="C94" s="3" t="s">
        <v>845</v>
      </c>
      <c r="D94" s="3" t="s">
        <v>846</v>
      </c>
      <c r="E94" s="3" t="s">
        <v>847</v>
      </c>
      <c r="F94" s="3" t="s">
        <v>848</v>
      </c>
      <c r="G94" s="3" t="e">
        <f t="shared" ca="1" si="11"/>
        <v>#NAME?</v>
      </c>
      <c r="H94" s="3" t="e">
        <f t="shared" ca="1" si="12"/>
        <v>#NAME?</v>
      </c>
      <c r="I94" s="3" t="e">
        <f t="shared" ca="1" si="13"/>
        <v>#NAME?</v>
      </c>
      <c r="J94" s="3"/>
      <c r="K94" s="3">
        <f t="shared" si="10"/>
        <v>365</v>
      </c>
      <c r="L94" s="3">
        <f t="shared" si="3"/>
        <v>12</v>
      </c>
      <c r="M94" s="3"/>
      <c r="N94" s="3"/>
      <c r="O94" s="3"/>
      <c r="P94" s="3">
        <v>0.8</v>
      </c>
      <c r="Q94" s="3">
        <v>3</v>
      </c>
      <c r="R94" s="3">
        <v>394</v>
      </c>
      <c r="S94" s="3" t="s">
        <v>21</v>
      </c>
      <c r="U94" s="3" t="s">
        <v>29</v>
      </c>
    </row>
    <row r="95" spans="1:21" x14ac:dyDescent="0.25">
      <c r="A95" s="3" t="s">
        <v>849</v>
      </c>
      <c r="B95" s="3" t="s">
        <v>850</v>
      </c>
      <c r="C95" s="3" t="s">
        <v>851</v>
      </c>
      <c r="D95" s="3" t="s">
        <v>852</v>
      </c>
      <c r="E95" s="3" t="s">
        <v>853</v>
      </c>
      <c r="F95" s="3" t="s">
        <v>854</v>
      </c>
      <c r="G95" s="3" t="e">
        <f t="shared" ca="1" si="11"/>
        <v>#NAME?</v>
      </c>
      <c r="H95" s="3" t="e">
        <f t="shared" ca="1" si="12"/>
        <v>#NAME?</v>
      </c>
      <c r="I95" s="3" t="e">
        <f t="shared" ca="1" si="13"/>
        <v>#NAME?</v>
      </c>
      <c r="J95" s="3"/>
      <c r="K95" s="3">
        <f t="shared" si="10"/>
        <v>365</v>
      </c>
      <c r="L95" s="3">
        <f t="shared" si="3"/>
        <v>12</v>
      </c>
      <c r="M95" s="3"/>
      <c r="N95" s="3"/>
      <c r="O95" s="3"/>
      <c r="P95" s="3">
        <v>57.6</v>
      </c>
      <c r="Q95" s="3">
        <v>227</v>
      </c>
      <c r="R95" s="3">
        <v>394</v>
      </c>
      <c r="S95" s="3" t="s">
        <v>21</v>
      </c>
      <c r="U95" s="3" t="s">
        <v>29</v>
      </c>
    </row>
    <row r="96" spans="1:21" x14ac:dyDescent="0.25">
      <c r="A96" s="3" t="s">
        <v>855</v>
      </c>
      <c r="B96" s="3" t="s">
        <v>856</v>
      </c>
      <c r="C96" s="3" t="s">
        <v>857</v>
      </c>
      <c r="D96" s="3" t="s">
        <v>858</v>
      </c>
      <c r="E96" s="3" t="s">
        <v>859</v>
      </c>
      <c r="F96" s="3" t="s">
        <v>860</v>
      </c>
      <c r="G96" s="3" t="e">
        <f t="shared" ca="1" si="11"/>
        <v>#NAME?</v>
      </c>
      <c r="H96" s="3" t="e">
        <f t="shared" ca="1" si="12"/>
        <v>#NAME?</v>
      </c>
      <c r="I96" s="3" t="e">
        <f t="shared" ca="1" si="13"/>
        <v>#NAME?</v>
      </c>
      <c r="J96" s="3"/>
      <c r="K96" s="3">
        <f t="shared" si="10"/>
        <v>365</v>
      </c>
      <c r="L96" s="3">
        <f t="shared" si="3"/>
        <v>12</v>
      </c>
      <c r="M96" s="3"/>
      <c r="N96" s="3"/>
      <c r="O96" s="3"/>
      <c r="P96" s="3">
        <v>5.0999999999999996</v>
      </c>
      <c r="Q96" s="3">
        <v>20</v>
      </c>
      <c r="R96" s="3">
        <v>394</v>
      </c>
      <c r="S96" s="3" t="s">
        <v>21</v>
      </c>
      <c r="U96" s="3" t="s">
        <v>29</v>
      </c>
    </row>
    <row r="97" spans="1:21" x14ac:dyDescent="0.25">
      <c r="A97" s="3" t="s">
        <v>861</v>
      </c>
      <c r="B97" s="3" t="s">
        <v>862</v>
      </c>
      <c r="C97" s="3" t="s">
        <v>863</v>
      </c>
      <c r="D97" s="3" t="s">
        <v>864</v>
      </c>
      <c r="E97" s="3" t="s">
        <v>865</v>
      </c>
      <c r="F97" s="3" t="s">
        <v>866</v>
      </c>
      <c r="G97" s="3" t="e">
        <f t="shared" ca="1" si="11"/>
        <v>#NAME?</v>
      </c>
      <c r="H97" s="3" t="e">
        <f t="shared" ca="1" si="12"/>
        <v>#NAME?</v>
      </c>
      <c r="I97" s="3" t="e">
        <f t="shared" ca="1" si="13"/>
        <v>#NAME?</v>
      </c>
      <c r="J97" s="3"/>
      <c r="K97" s="3">
        <f t="shared" si="10"/>
        <v>365</v>
      </c>
      <c r="L97" s="3">
        <f t="shared" si="3"/>
        <v>12</v>
      </c>
      <c r="M97" s="3"/>
      <c r="N97" s="3"/>
      <c r="O97" s="3"/>
      <c r="P97" s="3">
        <v>4.3</v>
      </c>
      <c r="Q97" s="3">
        <v>17</v>
      </c>
      <c r="R97" s="3">
        <v>394</v>
      </c>
      <c r="S97" s="3" t="s">
        <v>21</v>
      </c>
      <c r="U97" s="3" t="s">
        <v>29</v>
      </c>
    </row>
    <row r="98" spans="1:21" x14ac:dyDescent="0.25">
      <c r="A98" s="3" t="s">
        <v>867</v>
      </c>
      <c r="B98" s="3" t="s">
        <v>868</v>
      </c>
      <c r="C98" s="3" t="s">
        <v>869</v>
      </c>
      <c r="D98" s="3" t="s">
        <v>870</v>
      </c>
      <c r="E98" s="3" t="s">
        <v>871</v>
      </c>
      <c r="F98" s="3" t="s">
        <v>872</v>
      </c>
      <c r="G98" s="3" t="e">
        <f t="shared" ca="1" si="11"/>
        <v>#NAME?</v>
      </c>
      <c r="H98" s="3" t="e">
        <f t="shared" ca="1" si="12"/>
        <v>#NAME?</v>
      </c>
      <c r="I98" s="3" t="e">
        <f t="shared" ca="1" si="13"/>
        <v>#NAME?</v>
      </c>
      <c r="J98" s="3"/>
      <c r="K98" s="3">
        <f t="shared" si="10"/>
        <v>365</v>
      </c>
      <c r="L98" s="3">
        <f t="shared" si="3"/>
        <v>12</v>
      </c>
      <c r="M98" s="3"/>
      <c r="N98" s="3"/>
      <c r="O98" s="3"/>
      <c r="P98" s="3">
        <v>15</v>
      </c>
      <c r="Q98" s="3">
        <v>59</v>
      </c>
      <c r="R98" s="3">
        <v>394</v>
      </c>
      <c r="S98" s="3" t="s">
        <v>21</v>
      </c>
      <c r="U98" s="3" t="s">
        <v>29</v>
      </c>
    </row>
    <row r="99" spans="1:21" x14ac:dyDescent="0.25">
      <c r="A99" s="3" t="s">
        <v>873</v>
      </c>
      <c r="B99" s="3" t="s">
        <v>874</v>
      </c>
      <c r="C99" s="3" t="s">
        <v>875</v>
      </c>
      <c r="D99" s="3" t="s">
        <v>876</v>
      </c>
      <c r="E99" s="3" t="s">
        <v>877</v>
      </c>
      <c r="F99" s="3" t="s">
        <v>878</v>
      </c>
      <c r="G99" s="3" t="e">
        <f t="shared" ca="1" si="11"/>
        <v>#NAME?</v>
      </c>
      <c r="H99" s="3" t="e">
        <f t="shared" ca="1" si="12"/>
        <v>#NAME?</v>
      </c>
      <c r="I99" s="3" t="e">
        <f t="shared" ca="1" si="13"/>
        <v>#NAME?</v>
      </c>
      <c r="J99" s="3"/>
      <c r="K99" s="3">
        <f t="shared" si="10"/>
        <v>365</v>
      </c>
      <c r="L99" s="3">
        <f t="shared" si="3"/>
        <v>12</v>
      </c>
      <c r="M99" s="3"/>
      <c r="N99" s="3"/>
      <c r="O99" s="3"/>
      <c r="P99" s="3">
        <v>8.4</v>
      </c>
      <c r="Q99" s="3">
        <v>33</v>
      </c>
      <c r="R99" s="3">
        <v>394</v>
      </c>
      <c r="S99" s="3" t="s">
        <v>21</v>
      </c>
      <c r="U99" s="3" t="s">
        <v>29</v>
      </c>
    </row>
    <row r="100" spans="1:21" x14ac:dyDescent="0.25">
      <c r="A100" s="3" t="s">
        <v>879</v>
      </c>
      <c r="B100" s="3" t="s">
        <v>880</v>
      </c>
      <c r="C100" s="3" t="s">
        <v>881</v>
      </c>
      <c r="D100" s="3" t="s">
        <v>882</v>
      </c>
      <c r="E100" s="3" t="s">
        <v>883</v>
      </c>
      <c r="F100" s="3" t="s">
        <v>884</v>
      </c>
      <c r="G100" s="3" t="e">
        <f t="shared" ca="1" si="11"/>
        <v>#NAME?</v>
      </c>
      <c r="H100" s="3" t="e">
        <f t="shared" ca="1" si="12"/>
        <v>#NAME?</v>
      </c>
      <c r="I100" s="3" t="e">
        <f t="shared" ca="1" si="13"/>
        <v>#NAME?</v>
      </c>
      <c r="J100" s="3"/>
      <c r="K100" s="3">
        <f t="shared" si="10"/>
        <v>365</v>
      </c>
      <c r="L100" s="3">
        <f t="shared" si="3"/>
        <v>12</v>
      </c>
      <c r="M100" s="3"/>
      <c r="N100" s="3"/>
      <c r="O100" s="3"/>
      <c r="P100" s="3">
        <v>29.2</v>
      </c>
      <c r="Q100" s="3">
        <v>115</v>
      </c>
      <c r="R100" s="3">
        <v>394</v>
      </c>
      <c r="S100" s="3" t="s">
        <v>21</v>
      </c>
      <c r="U100" s="3" t="s">
        <v>29</v>
      </c>
    </row>
    <row r="101" spans="1:21" x14ac:dyDescent="0.25">
      <c r="A101" s="3" t="s">
        <v>885</v>
      </c>
      <c r="B101" s="3" t="s">
        <v>886</v>
      </c>
      <c r="C101" s="3" t="s">
        <v>887</v>
      </c>
      <c r="D101" s="3" t="s">
        <v>888</v>
      </c>
      <c r="E101" s="3" t="s">
        <v>889</v>
      </c>
      <c r="F101" s="3" t="s">
        <v>890</v>
      </c>
      <c r="G101" s="3" t="e">
        <f t="shared" ca="1" si="11"/>
        <v>#NAME?</v>
      </c>
      <c r="H101" s="3" t="e">
        <f t="shared" ca="1" si="12"/>
        <v>#NAME?</v>
      </c>
      <c r="I101" s="3" t="e">
        <f t="shared" ca="1" si="13"/>
        <v>#NAME?</v>
      </c>
      <c r="J101" s="3"/>
      <c r="K101" s="3">
        <f t="shared" si="10"/>
        <v>365</v>
      </c>
      <c r="L101" s="3">
        <f t="shared" si="3"/>
        <v>12</v>
      </c>
      <c r="M101" s="3"/>
      <c r="N101" s="3"/>
      <c r="O101" s="3"/>
      <c r="P101" s="3">
        <v>0</v>
      </c>
      <c r="Q101" s="3">
        <v>0</v>
      </c>
      <c r="R101" s="3">
        <v>394</v>
      </c>
      <c r="S101" s="3" t="s">
        <v>21</v>
      </c>
      <c r="U101" s="3" t="s">
        <v>29</v>
      </c>
    </row>
    <row r="102" spans="1:21" x14ac:dyDescent="0.25">
      <c r="A102" s="3" t="s">
        <v>891</v>
      </c>
      <c r="B102" s="3" t="s">
        <v>892</v>
      </c>
      <c r="C102" s="3" t="s">
        <v>893</v>
      </c>
      <c r="D102" s="3" t="s">
        <v>894</v>
      </c>
      <c r="E102" s="3" t="s">
        <v>895</v>
      </c>
      <c r="F102" s="3" t="s">
        <v>896</v>
      </c>
      <c r="G102" s="3" t="e">
        <f t="shared" ca="1" si="11"/>
        <v>#NAME?</v>
      </c>
      <c r="H102" s="3" t="e">
        <f t="shared" ca="1" si="12"/>
        <v>#NAME?</v>
      </c>
      <c r="I102" s="3" t="e">
        <f t="shared" ca="1" si="13"/>
        <v>#NAME?</v>
      </c>
      <c r="J102" s="3"/>
      <c r="K102" s="3">
        <f t="shared" si="10"/>
        <v>365</v>
      </c>
      <c r="L102" s="3">
        <f t="shared" si="3"/>
        <v>12</v>
      </c>
      <c r="M102" s="3"/>
      <c r="N102" s="3"/>
      <c r="O102" s="3"/>
      <c r="P102" s="3">
        <v>2</v>
      </c>
      <c r="Q102" s="3">
        <v>8</v>
      </c>
      <c r="R102" s="3">
        <v>394</v>
      </c>
      <c r="S102" s="3" t="s">
        <v>21</v>
      </c>
      <c r="U102" s="3" t="s">
        <v>29</v>
      </c>
    </row>
    <row r="103" spans="1:21" x14ac:dyDescent="0.25">
      <c r="A103" s="3" t="s">
        <v>897</v>
      </c>
      <c r="B103" s="3" t="s">
        <v>898</v>
      </c>
      <c r="C103" s="3" t="s">
        <v>899</v>
      </c>
      <c r="D103" s="3" t="s">
        <v>900</v>
      </c>
      <c r="E103" s="3" t="s">
        <v>901</v>
      </c>
      <c r="F103" s="3" t="s">
        <v>902</v>
      </c>
      <c r="G103" s="3" t="e">
        <f t="shared" ca="1" si="11"/>
        <v>#NAME?</v>
      </c>
      <c r="H103" s="3" t="e">
        <f t="shared" ca="1" si="12"/>
        <v>#NAME?</v>
      </c>
      <c r="I103" s="3" t="e">
        <f t="shared" ca="1" si="13"/>
        <v>#NAME?</v>
      </c>
      <c r="J103" s="3"/>
      <c r="K103" s="3">
        <f t="shared" si="10"/>
        <v>365</v>
      </c>
      <c r="L103" s="3">
        <f t="shared" si="3"/>
        <v>12</v>
      </c>
      <c r="M103" s="3"/>
      <c r="N103" s="3"/>
      <c r="O103" s="3"/>
      <c r="P103" s="3">
        <v>7.6</v>
      </c>
      <c r="Q103" s="3">
        <v>30</v>
      </c>
      <c r="R103" s="3">
        <v>394</v>
      </c>
      <c r="S103" s="3" t="s">
        <v>21</v>
      </c>
      <c r="U103" s="3" t="s">
        <v>29</v>
      </c>
    </row>
    <row r="104" spans="1:21" x14ac:dyDescent="0.25">
      <c r="A104" s="3" t="s">
        <v>903</v>
      </c>
      <c r="B104" s="3" t="s">
        <v>904</v>
      </c>
      <c r="C104" s="3" t="s">
        <v>905</v>
      </c>
      <c r="D104" s="3" t="s">
        <v>906</v>
      </c>
      <c r="E104" s="3" t="s">
        <v>907</v>
      </c>
      <c r="F104" s="3" t="s">
        <v>908</v>
      </c>
      <c r="G104" s="3" t="e">
        <f t="shared" ca="1" si="11"/>
        <v>#NAME?</v>
      </c>
      <c r="H104" s="3" t="e">
        <f t="shared" ca="1" si="12"/>
        <v>#NAME?</v>
      </c>
      <c r="I104" s="3" t="e">
        <f t="shared" ca="1" si="13"/>
        <v>#NAME?</v>
      </c>
      <c r="J104" s="3"/>
      <c r="K104" s="3">
        <f t="shared" si="10"/>
        <v>365</v>
      </c>
      <c r="L104" s="3">
        <f t="shared" si="3"/>
        <v>12</v>
      </c>
      <c r="M104" s="3"/>
      <c r="N104" s="3"/>
      <c r="O104" s="3"/>
      <c r="P104" s="3">
        <v>1</v>
      </c>
      <c r="Q104" s="3">
        <v>4</v>
      </c>
      <c r="R104" s="3">
        <v>394</v>
      </c>
      <c r="S104" s="3" t="s">
        <v>21</v>
      </c>
      <c r="U104" s="3" t="s">
        <v>29</v>
      </c>
    </row>
    <row r="105" spans="1:21" x14ac:dyDescent="0.25">
      <c r="A105" s="3" t="s">
        <v>909</v>
      </c>
      <c r="B105" s="3" t="s">
        <v>910</v>
      </c>
      <c r="C105" s="3" t="s">
        <v>911</v>
      </c>
      <c r="D105" s="3" t="s">
        <v>912</v>
      </c>
      <c r="E105" s="3" t="s">
        <v>913</v>
      </c>
      <c r="F105" s="3" t="s">
        <v>914</v>
      </c>
      <c r="G105" s="3" t="e">
        <f t="shared" ca="1" si="11"/>
        <v>#NAME?</v>
      </c>
      <c r="H105" s="3" t="e">
        <f t="shared" ca="1" si="12"/>
        <v>#NAME?</v>
      </c>
      <c r="I105" s="3" t="e">
        <f t="shared" ca="1" si="13"/>
        <v>#NAME?</v>
      </c>
      <c r="J105" s="3"/>
      <c r="K105" s="3">
        <f t="shared" si="10"/>
        <v>365</v>
      </c>
      <c r="L105" s="3">
        <f t="shared" si="3"/>
        <v>12</v>
      </c>
      <c r="M105" s="3"/>
      <c r="N105" s="3"/>
      <c r="O105" s="3"/>
      <c r="P105" s="3">
        <v>23.9</v>
      </c>
      <c r="Q105" s="3">
        <v>94</v>
      </c>
      <c r="R105" s="3">
        <v>394</v>
      </c>
      <c r="S105" s="3" t="s">
        <v>21</v>
      </c>
      <c r="U105" s="3" t="s">
        <v>29</v>
      </c>
    </row>
    <row r="106" spans="1:21" x14ac:dyDescent="0.25">
      <c r="A106" s="3" t="s">
        <v>915</v>
      </c>
      <c r="B106" s="3" t="s">
        <v>916</v>
      </c>
      <c r="C106" s="3" t="s">
        <v>917</v>
      </c>
      <c r="D106" s="3" t="s">
        <v>918</v>
      </c>
      <c r="E106" s="3" t="s">
        <v>919</v>
      </c>
      <c r="F106" s="3" t="s">
        <v>920</v>
      </c>
      <c r="G106" s="3" t="e">
        <f t="shared" ca="1" si="11"/>
        <v>#NAME?</v>
      </c>
      <c r="H106" s="3" t="e">
        <f t="shared" ca="1" si="12"/>
        <v>#NAME?</v>
      </c>
      <c r="I106" s="3" t="e">
        <f t="shared" ca="1" si="13"/>
        <v>#NAME?</v>
      </c>
      <c r="J106" s="3"/>
      <c r="K106" s="3">
        <f t="shared" si="10"/>
        <v>365</v>
      </c>
      <c r="L106" s="3">
        <f t="shared" si="3"/>
        <v>12</v>
      </c>
      <c r="M106" s="3"/>
      <c r="N106" s="3"/>
      <c r="O106" s="3"/>
      <c r="P106" s="3">
        <v>5.0999999999999996</v>
      </c>
      <c r="Q106" s="3">
        <v>20</v>
      </c>
      <c r="R106" s="3">
        <v>394</v>
      </c>
      <c r="S106" s="3" t="s">
        <v>21</v>
      </c>
      <c r="U106" s="3" t="s">
        <v>29</v>
      </c>
    </row>
    <row r="107" spans="1:21" x14ac:dyDescent="0.25">
      <c r="A107" s="3" t="s">
        <v>921</v>
      </c>
      <c r="B107" s="3" t="s">
        <v>922</v>
      </c>
      <c r="C107" s="3" t="s">
        <v>923</v>
      </c>
      <c r="D107" s="3" t="s">
        <v>924</v>
      </c>
      <c r="E107" s="3" t="s">
        <v>925</v>
      </c>
      <c r="F107" s="3" t="s">
        <v>926</v>
      </c>
      <c r="G107" s="3" t="e">
        <f t="shared" ca="1" si="11"/>
        <v>#NAME?</v>
      </c>
      <c r="H107" s="3" t="e">
        <f t="shared" ca="1" si="12"/>
        <v>#NAME?</v>
      </c>
      <c r="I107" s="3" t="e">
        <f t="shared" ca="1" si="13"/>
        <v>#NAME?</v>
      </c>
      <c r="J107" s="3"/>
      <c r="K107" s="3">
        <f t="shared" si="10"/>
        <v>365</v>
      </c>
      <c r="L107" s="3">
        <f t="shared" si="3"/>
        <v>12</v>
      </c>
      <c r="M107" s="3"/>
      <c r="N107" s="3"/>
      <c r="O107" s="3"/>
      <c r="P107" s="3">
        <v>4.3</v>
      </c>
      <c r="Q107" s="3">
        <v>17</v>
      </c>
      <c r="R107" s="3">
        <v>394</v>
      </c>
      <c r="S107" s="3" t="s">
        <v>21</v>
      </c>
      <c r="U107" s="3" t="s">
        <v>29</v>
      </c>
    </row>
    <row r="108" spans="1:21" x14ac:dyDescent="0.25">
      <c r="A108" s="3" t="s">
        <v>927</v>
      </c>
      <c r="B108" s="3" t="s">
        <v>928</v>
      </c>
      <c r="C108" s="3" t="s">
        <v>929</v>
      </c>
      <c r="D108" s="3" t="s">
        <v>930</v>
      </c>
      <c r="E108" s="3" t="s">
        <v>931</v>
      </c>
      <c r="F108" s="3" t="s">
        <v>932</v>
      </c>
      <c r="G108" s="3" t="e">
        <f t="shared" ca="1" si="11"/>
        <v>#NAME?</v>
      </c>
      <c r="H108" s="3" t="e">
        <f t="shared" ca="1" si="12"/>
        <v>#NAME?</v>
      </c>
      <c r="I108" s="3" t="e">
        <f t="shared" ca="1" si="13"/>
        <v>#NAME?</v>
      </c>
      <c r="J108" s="3"/>
      <c r="K108" s="3">
        <f t="shared" si="10"/>
        <v>365</v>
      </c>
      <c r="L108" s="3">
        <f t="shared" si="3"/>
        <v>12</v>
      </c>
      <c r="M108" s="3"/>
      <c r="N108" s="3"/>
      <c r="O108" s="3"/>
      <c r="P108" s="3">
        <v>14.2</v>
      </c>
      <c r="Q108" s="3">
        <v>56</v>
      </c>
      <c r="R108" s="3">
        <v>394</v>
      </c>
      <c r="S108" s="3" t="s">
        <v>21</v>
      </c>
      <c r="U108" s="3" t="s">
        <v>29</v>
      </c>
    </row>
    <row r="109" spans="1:21" x14ac:dyDescent="0.25">
      <c r="A109" s="3" t="s">
        <v>933</v>
      </c>
      <c r="B109" s="3" t="s">
        <v>934</v>
      </c>
      <c r="C109" s="3" t="s">
        <v>935</v>
      </c>
      <c r="D109" s="3" t="s">
        <v>936</v>
      </c>
      <c r="E109" s="3" t="s">
        <v>937</v>
      </c>
      <c r="F109" s="3" t="s">
        <v>938</v>
      </c>
      <c r="G109" s="3" t="e">
        <f t="shared" ca="1" si="11"/>
        <v>#NAME?</v>
      </c>
      <c r="H109" s="3" t="e">
        <f t="shared" ca="1" si="12"/>
        <v>#NAME?</v>
      </c>
      <c r="I109" s="3" t="e">
        <f t="shared" ca="1" si="13"/>
        <v>#NAME?</v>
      </c>
      <c r="J109" s="3"/>
      <c r="K109" s="3">
        <f t="shared" si="10"/>
        <v>365</v>
      </c>
      <c r="L109" s="3">
        <f t="shared" si="3"/>
        <v>12</v>
      </c>
      <c r="M109" s="3"/>
      <c r="N109" s="3"/>
      <c r="O109" s="3"/>
      <c r="P109" s="3">
        <v>5.8</v>
      </c>
      <c r="Q109" s="3">
        <v>23</v>
      </c>
      <c r="R109" s="3">
        <v>394</v>
      </c>
      <c r="S109" s="3" t="s">
        <v>21</v>
      </c>
      <c r="U109" s="3" t="s">
        <v>29</v>
      </c>
    </row>
    <row r="110" spans="1:21" x14ac:dyDescent="0.25">
      <c r="A110" s="3" t="s">
        <v>939</v>
      </c>
      <c r="B110" s="3" t="s">
        <v>940</v>
      </c>
      <c r="C110" s="3" t="s">
        <v>941</v>
      </c>
      <c r="D110" s="3" t="s">
        <v>942</v>
      </c>
      <c r="E110" s="3" t="s">
        <v>943</v>
      </c>
      <c r="F110" s="3" t="s">
        <v>944</v>
      </c>
      <c r="G110" s="3" t="e">
        <f t="shared" ca="1" si="11"/>
        <v>#NAME?</v>
      </c>
      <c r="H110" s="3" t="e">
        <f t="shared" ca="1" si="12"/>
        <v>#NAME?</v>
      </c>
      <c r="I110" s="3" t="e">
        <f t="shared" ca="1" si="13"/>
        <v>#NAME?</v>
      </c>
      <c r="J110" s="3"/>
      <c r="K110" s="3">
        <f t="shared" si="10"/>
        <v>365</v>
      </c>
      <c r="L110" s="3">
        <f t="shared" si="3"/>
        <v>12</v>
      </c>
      <c r="M110" s="3"/>
      <c r="N110" s="3"/>
      <c r="O110" s="3"/>
      <c r="P110" s="3">
        <v>2.2999999999999998</v>
      </c>
      <c r="Q110" s="3">
        <v>9</v>
      </c>
      <c r="R110" s="3">
        <v>394</v>
      </c>
      <c r="S110" s="3" t="s">
        <v>21</v>
      </c>
      <c r="U110" s="3" t="s">
        <v>29</v>
      </c>
    </row>
    <row r="111" spans="1:21" x14ac:dyDescent="0.25">
      <c r="A111" s="3" t="s">
        <v>945</v>
      </c>
      <c r="B111" s="3" t="s">
        <v>946</v>
      </c>
      <c r="C111" s="3" t="s">
        <v>947</v>
      </c>
      <c r="D111" s="3" t="s">
        <v>948</v>
      </c>
      <c r="E111" s="3" t="s">
        <v>949</v>
      </c>
      <c r="F111" s="3" t="s">
        <v>950</v>
      </c>
      <c r="G111" s="3" t="e">
        <f t="shared" ca="1" si="11"/>
        <v>#NAME?</v>
      </c>
      <c r="H111" s="3" t="e">
        <f t="shared" ca="1" si="12"/>
        <v>#NAME?</v>
      </c>
      <c r="I111" s="3" t="e">
        <f t="shared" ca="1" si="13"/>
        <v>#NAME?</v>
      </c>
      <c r="J111" s="3"/>
      <c r="K111" s="3">
        <f t="shared" si="10"/>
        <v>365</v>
      </c>
      <c r="L111" s="3">
        <f t="shared" si="3"/>
        <v>12</v>
      </c>
      <c r="M111" s="3"/>
      <c r="N111" s="3"/>
      <c r="O111" s="3"/>
      <c r="P111" s="3">
        <v>2.5</v>
      </c>
      <c r="Q111" s="3">
        <v>10</v>
      </c>
      <c r="R111" s="3">
        <v>394</v>
      </c>
      <c r="S111" s="3" t="s">
        <v>21</v>
      </c>
      <c r="U111" s="3" t="s">
        <v>29</v>
      </c>
    </row>
    <row r="112" spans="1:21" x14ac:dyDescent="0.25">
      <c r="A112" s="3" t="s">
        <v>951</v>
      </c>
      <c r="B112" s="3" t="s">
        <v>952</v>
      </c>
      <c r="C112" s="3" t="s">
        <v>953</v>
      </c>
      <c r="D112" s="3" t="s">
        <v>954</v>
      </c>
      <c r="E112" s="3" t="s">
        <v>955</v>
      </c>
      <c r="F112" s="3" t="s">
        <v>956</v>
      </c>
      <c r="G112" s="3" t="e">
        <f t="shared" ca="1" si="11"/>
        <v>#NAME?</v>
      </c>
      <c r="H112" s="3" t="e">
        <f t="shared" ca="1" si="12"/>
        <v>#NAME?</v>
      </c>
      <c r="I112" s="3" t="e">
        <f t="shared" ca="1" si="13"/>
        <v>#NAME?</v>
      </c>
      <c r="J112" s="3"/>
      <c r="K112" s="3">
        <f t="shared" si="10"/>
        <v>365</v>
      </c>
      <c r="L112" s="3">
        <f t="shared" si="3"/>
        <v>12</v>
      </c>
      <c r="M112" s="3"/>
      <c r="N112" s="3"/>
      <c r="O112" s="3"/>
      <c r="P112" s="3">
        <v>44.7</v>
      </c>
      <c r="Q112" s="3">
        <v>176</v>
      </c>
      <c r="R112" s="3">
        <v>394</v>
      </c>
      <c r="S112" s="3" t="s">
        <v>21</v>
      </c>
      <c r="U112" s="3" t="s">
        <v>29</v>
      </c>
    </row>
    <row r="113" spans="1:21" x14ac:dyDescent="0.25">
      <c r="A113" s="3" t="s">
        <v>957</v>
      </c>
      <c r="B113" s="3" t="s">
        <v>958</v>
      </c>
      <c r="C113" s="3" t="s">
        <v>959</v>
      </c>
      <c r="D113" s="3" t="s">
        <v>960</v>
      </c>
      <c r="E113" s="3" t="s">
        <v>961</v>
      </c>
      <c r="F113" s="3" t="s">
        <v>962</v>
      </c>
      <c r="G113" s="3" t="e">
        <f t="shared" ca="1" si="11"/>
        <v>#NAME?</v>
      </c>
      <c r="H113" s="3" t="e">
        <f t="shared" ca="1" si="12"/>
        <v>#NAME?</v>
      </c>
      <c r="I113" s="3" t="e">
        <f t="shared" ca="1" si="13"/>
        <v>#NAME?</v>
      </c>
      <c r="J113" s="3"/>
      <c r="K113" s="3">
        <f t="shared" si="10"/>
        <v>365</v>
      </c>
      <c r="L113" s="3">
        <f t="shared" si="3"/>
        <v>12</v>
      </c>
      <c r="M113" s="3"/>
      <c r="N113" s="3"/>
      <c r="O113" s="3"/>
      <c r="P113" s="3">
        <v>38.299999999999997</v>
      </c>
      <c r="Q113" s="3">
        <v>151</v>
      </c>
      <c r="R113" s="3">
        <v>394</v>
      </c>
      <c r="S113" s="3" t="s">
        <v>21</v>
      </c>
      <c r="U113" s="3" t="s">
        <v>29</v>
      </c>
    </row>
    <row r="114" spans="1:21" x14ac:dyDescent="0.25">
      <c r="A114" s="3" t="s">
        <v>963</v>
      </c>
      <c r="B114" s="3" t="s">
        <v>964</v>
      </c>
      <c r="C114" s="3" t="s">
        <v>965</v>
      </c>
      <c r="D114" s="3" t="s">
        <v>966</v>
      </c>
      <c r="E114" s="3" t="s">
        <v>967</v>
      </c>
      <c r="F114" s="3" t="s">
        <v>968</v>
      </c>
      <c r="G114" s="3" t="e">
        <f t="shared" ca="1" si="11"/>
        <v>#NAME?</v>
      </c>
      <c r="H114" s="3" t="e">
        <f t="shared" ca="1" si="12"/>
        <v>#NAME?</v>
      </c>
      <c r="I114" s="3" t="e">
        <f t="shared" ca="1" si="13"/>
        <v>#NAME?</v>
      </c>
      <c r="J114" s="3"/>
      <c r="K114" s="3">
        <f t="shared" si="10"/>
        <v>365</v>
      </c>
      <c r="L114" s="3">
        <f t="shared" si="3"/>
        <v>12</v>
      </c>
      <c r="M114" s="3"/>
      <c r="N114" s="3"/>
      <c r="O114" s="3"/>
      <c r="P114" s="3">
        <v>30.7</v>
      </c>
      <c r="Q114" s="3">
        <v>121</v>
      </c>
      <c r="R114" s="3">
        <v>394</v>
      </c>
      <c r="S114" s="3" t="s">
        <v>21</v>
      </c>
      <c r="U114" s="3" t="s">
        <v>29</v>
      </c>
    </row>
    <row r="115" spans="1:21" x14ac:dyDescent="0.25">
      <c r="A115" s="3" t="s">
        <v>969</v>
      </c>
      <c r="B115" s="3" t="s">
        <v>970</v>
      </c>
      <c r="C115" s="3" t="s">
        <v>971</v>
      </c>
      <c r="D115" s="3" t="s">
        <v>972</v>
      </c>
      <c r="E115" s="3" t="s">
        <v>973</v>
      </c>
      <c r="F115" s="3" t="s">
        <v>974</v>
      </c>
      <c r="G115" s="3" t="e">
        <f t="shared" ca="1" si="11"/>
        <v>#NAME?</v>
      </c>
      <c r="H115" s="3" t="e">
        <f t="shared" ca="1" si="12"/>
        <v>#NAME?</v>
      </c>
      <c r="I115" s="3" t="e">
        <f t="shared" ca="1" si="13"/>
        <v>#NAME?</v>
      </c>
      <c r="J115" s="3"/>
      <c r="K115" s="3">
        <f t="shared" si="10"/>
        <v>365</v>
      </c>
      <c r="L115" s="3">
        <f t="shared" si="3"/>
        <v>12</v>
      </c>
      <c r="M115" s="3"/>
      <c r="N115" s="3"/>
      <c r="O115" s="3"/>
      <c r="P115" s="3">
        <v>10.199999999999999</v>
      </c>
      <c r="Q115" s="3">
        <v>40</v>
      </c>
      <c r="R115" s="3">
        <v>394</v>
      </c>
      <c r="S115" s="3" t="s">
        <v>21</v>
      </c>
      <c r="U115" s="3" t="s">
        <v>29</v>
      </c>
    </row>
    <row r="116" spans="1:21" x14ac:dyDescent="0.25">
      <c r="A116" s="3" t="s">
        <v>975</v>
      </c>
      <c r="B116" s="3" t="s">
        <v>976</v>
      </c>
      <c r="C116" s="3" t="s">
        <v>977</v>
      </c>
      <c r="D116" s="3" t="s">
        <v>978</v>
      </c>
      <c r="E116" s="3" t="s">
        <v>979</v>
      </c>
      <c r="F116" s="3" t="s">
        <v>980</v>
      </c>
      <c r="G116" s="3" t="e">
        <f t="shared" ca="1" si="11"/>
        <v>#NAME?</v>
      </c>
      <c r="H116" s="3" t="e">
        <f t="shared" ca="1" si="12"/>
        <v>#NAME?</v>
      </c>
      <c r="I116" s="3" t="e">
        <f t="shared" ca="1" si="13"/>
        <v>#NAME?</v>
      </c>
      <c r="J116" s="3"/>
      <c r="K116" s="3">
        <f t="shared" si="10"/>
        <v>365</v>
      </c>
      <c r="L116" s="3">
        <f t="shared" si="3"/>
        <v>12</v>
      </c>
      <c r="M116" s="3"/>
      <c r="N116" s="3"/>
      <c r="O116" s="3"/>
      <c r="P116" s="3">
        <v>49.5</v>
      </c>
      <c r="Q116" s="3">
        <v>195</v>
      </c>
      <c r="R116" s="3">
        <v>394</v>
      </c>
      <c r="S116" s="3" t="s">
        <v>21</v>
      </c>
      <c r="U116" s="3" t="s">
        <v>29</v>
      </c>
    </row>
    <row r="117" spans="1:21" x14ac:dyDescent="0.25">
      <c r="A117" s="3" t="s">
        <v>981</v>
      </c>
      <c r="B117" s="3" t="s">
        <v>982</v>
      </c>
      <c r="C117" s="3" t="s">
        <v>983</v>
      </c>
      <c r="D117" s="3" t="s">
        <v>984</v>
      </c>
      <c r="E117" s="3" t="s">
        <v>985</v>
      </c>
      <c r="F117" s="3" t="s">
        <v>986</v>
      </c>
      <c r="G117" s="3" t="e">
        <f t="shared" ca="1" si="11"/>
        <v>#NAME?</v>
      </c>
      <c r="H117" s="3" t="e">
        <f t="shared" ca="1" si="12"/>
        <v>#NAME?</v>
      </c>
      <c r="I117" s="3" t="e">
        <f t="shared" ca="1" si="13"/>
        <v>#NAME?</v>
      </c>
      <c r="J117" s="3"/>
      <c r="K117" s="3">
        <f t="shared" si="10"/>
        <v>365</v>
      </c>
      <c r="L117" s="3">
        <f t="shared" si="3"/>
        <v>12</v>
      </c>
      <c r="M117" s="3"/>
      <c r="N117" s="3"/>
      <c r="O117" s="3"/>
      <c r="P117" s="3">
        <v>2</v>
      </c>
      <c r="Q117" s="3">
        <v>8</v>
      </c>
      <c r="R117" s="3">
        <v>394</v>
      </c>
      <c r="S117" s="3" t="s">
        <v>21</v>
      </c>
      <c r="U117" s="3" t="s">
        <v>29</v>
      </c>
    </row>
    <row r="118" spans="1:21" x14ac:dyDescent="0.25">
      <c r="A118" s="3" t="s">
        <v>987</v>
      </c>
      <c r="B118" s="3" t="s">
        <v>988</v>
      </c>
      <c r="C118" s="3" t="s">
        <v>989</v>
      </c>
      <c r="D118" s="3" t="s">
        <v>990</v>
      </c>
      <c r="E118" s="3" t="s">
        <v>991</v>
      </c>
      <c r="F118" s="3" t="s">
        <v>992</v>
      </c>
      <c r="G118" s="3" t="e">
        <f t="shared" ca="1" si="11"/>
        <v>#NAME?</v>
      </c>
      <c r="H118" s="3" t="e">
        <f t="shared" ca="1" si="12"/>
        <v>#NAME?</v>
      </c>
      <c r="I118" s="3" t="e">
        <f t="shared" ca="1" si="13"/>
        <v>#NAME?</v>
      </c>
      <c r="J118" s="3"/>
      <c r="K118" s="3">
        <f t="shared" si="10"/>
        <v>365</v>
      </c>
      <c r="L118" s="3">
        <f t="shared" si="3"/>
        <v>12</v>
      </c>
      <c r="M118" s="3"/>
      <c r="N118" s="3"/>
      <c r="O118" s="3"/>
      <c r="P118" s="3">
        <v>35.799999999999997</v>
      </c>
      <c r="Q118" s="3">
        <v>141</v>
      </c>
      <c r="R118" s="3">
        <v>394</v>
      </c>
      <c r="S118" s="3" t="s">
        <v>21</v>
      </c>
      <c r="U118" s="3" t="s">
        <v>29</v>
      </c>
    </row>
    <row r="119" spans="1:21" x14ac:dyDescent="0.25">
      <c r="A119" s="3" t="s">
        <v>993</v>
      </c>
      <c r="B119" s="3" t="s">
        <v>994</v>
      </c>
      <c r="C119" s="3" t="s">
        <v>995</v>
      </c>
      <c r="D119" s="3" t="s">
        <v>996</v>
      </c>
      <c r="E119" s="3" t="s">
        <v>997</v>
      </c>
      <c r="F119" s="3" t="s">
        <v>998</v>
      </c>
      <c r="G119" s="3" t="e">
        <f t="shared" ca="1" si="11"/>
        <v>#NAME?</v>
      </c>
      <c r="H119" s="3" t="e">
        <f t="shared" ca="1" si="12"/>
        <v>#NAME?</v>
      </c>
      <c r="I119" s="3" t="e">
        <f t="shared" ca="1" si="13"/>
        <v>#NAME?</v>
      </c>
      <c r="J119" s="3"/>
      <c r="K119" s="3">
        <f t="shared" si="10"/>
        <v>365</v>
      </c>
      <c r="L119" s="3">
        <f t="shared" si="3"/>
        <v>12</v>
      </c>
      <c r="M119" s="3"/>
      <c r="N119" s="3"/>
      <c r="O119" s="3"/>
      <c r="P119" s="3">
        <v>18</v>
      </c>
      <c r="Q119" s="3">
        <v>71</v>
      </c>
      <c r="R119" s="3">
        <v>394</v>
      </c>
      <c r="S119" s="3" t="s">
        <v>21</v>
      </c>
      <c r="U119" s="3" t="s">
        <v>29</v>
      </c>
    </row>
    <row r="120" spans="1:21" x14ac:dyDescent="0.25">
      <c r="A120" s="3" t="s">
        <v>999</v>
      </c>
      <c r="B120" s="3" t="s">
        <v>1000</v>
      </c>
      <c r="C120" s="3" t="s">
        <v>1001</v>
      </c>
      <c r="D120" s="3" t="s">
        <v>1002</v>
      </c>
      <c r="E120" s="3" t="s">
        <v>1003</v>
      </c>
      <c r="F120" s="3" t="s">
        <v>1004</v>
      </c>
      <c r="G120" s="3" t="e">
        <f t="shared" ca="1" si="11"/>
        <v>#NAME?</v>
      </c>
      <c r="H120" s="3" t="e">
        <f t="shared" ca="1" si="12"/>
        <v>#NAME?</v>
      </c>
      <c r="I120" s="3" t="e">
        <f t="shared" ca="1" si="13"/>
        <v>#NAME?</v>
      </c>
      <c r="J120" s="3"/>
      <c r="K120" s="3">
        <f t="shared" si="10"/>
        <v>365</v>
      </c>
      <c r="L120" s="3">
        <f t="shared" si="3"/>
        <v>12</v>
      </c>
      <c r="M120" s="3"/>
      <c r="N120" s="3"/>
      <c r="O120" s="3"/>
      <c r="P120" s="3">
        <v>89.8</v>
      </c>
      <c r="Q120" s="3">
        <v>354</v>
      </c>
      <c r="R120" s="3">
        <v>394</v>
      </c>
      <c r="S120" s="3" t="s">
        <v>21</v>
      </c>
      <c r="U120" s="3" t="s">
        <v>29</v>
      </c>
    </row>
    <row r="121" spans="1:21" x14ac:dyDescent="0.25">
      <c r="A121" s="3" t="s">
        <v>1005</v>
      </c>
      <c r="B121" s="3" t="s">
        <v>1006</v>
      </c>
      <c r="C121" s="3" t="s">
        <v>1007</v>
      </c>
      <c r="D121" s="3" t="s">
        <v>1008</v>
      </c>
      <c r="E121" s="3" t="s">
        <v>1009</v>
      </c>
      <c r="F121" s="3" t="s">
        <v>1010</v>
      </c>
      <c r="G121" s="3" t="s">
        <v>372</v>
      </c>
      <c r="H121" s="3">
        <v>1</v>
      </c>
      <c r="I121" s="3" t="s">
        <v>373</v>
      </c>
      <c r="J121" s="3"/>
      <c r="K121" s="3">
        <f t="shared" si="10"/>
        <v>345</v>
      </c>
      <c r="L121" s="3">
        <f t="shared" si="3"/>
        <v>11</v>
      </c>
      <c r="M121" s="3"/>
      <c r="N121" s="3"/>
      <c r="O121" s="3"/>
      <c r="P121" s="3">
        <v>1.3</v>
      </c>
      <c r="Q121" s="3">
        <v>5</v>
      </c>
      <c r="R121" s="3">
        <v>394</v>
      </c>
      <c r="S121" s="3" t="s">
        <v>21</v>
      </c>
      <c r="U121" s="3" t="s">
        <v>29</v>
      </c>
    </row>
    <row r="122" spans="1:21" x14ac:dyDescent="0.25">
      <c r="A122" s="3" t="s">
        <v>1011</v>
      </c>
      <c r="B122" s="3" t="s">
        <v>1012</v>
      </c>
      <c r="C122" s="3" t="s">
        <v>1013</v>
      </c>
      <c r="D122" s="3" t="s">
        <v>1014</v>
      </c>
      <c r="E122" s="3" t="s">
        <v>1015</v>
      </c>
      <c r="F122" s="3" t="s">
        <v>1016</v>
      </c>
      <c r="G122" s="3" t="s">
        <v>372</v>
      </c>
      <c r="H122" s="3">
        <v>1</v>
      </c>
      <c r="I122" s="3" t="s">
        <v>373</v>
      </c>
      <c r="J122" s="3"/>
      <c r="K122" s="3">
        <f t="shared" si="10"/>
        <v>349</v>
      </c>
      <c r="L122" s="3">
        <f t="shared" si="3"/>
        <v>11</v>
      </c>
      <c r="M122" s="3"/>
      <c r="N122" s="3"/>
      <c r="O122" s="3"/>
      <c r="P122" s="3">
        <v>0</v>
      </c>
      <c r="Q122" s="3">
        <v>0</v>
      </c>
      <c r="R122" s="3">
        <v>394</v>
      </c>
      <c r="S122" s="3" t="s">
        <v>21</v>
      </c>
      <c r="U122" s="3" t="s">
        <v>29</v>
      </c>
    </row>
    <row r="123" spans="1:21" x14ac:dyDescent="0.25">
      <c r="A123" s="3" t="s">
        <v>1017</v>
      </c>
      <c r="B123" s="3" t="s">
        <v>1018</v>
      </c>
      <c r="C123" s="3" t="s">
        <v>1019</v>
      </c>
      <c r="D123" s="3" t="s">
        <v>1020</v>
      </c>
      <c r="E123" s="3" t="s">
        <v>1021</v>
      </c>
      <c r="F123" s="3" t="s">
        <v>1022</v>
      </c>
      <c r="G123" s="3" t="s">
        <v>372</v>
      </c>
      <c r="H123" s="3">
        <v>1</v>
      </c>
      <c r="I123" s="3" t="s">
        <v>373</v>
      </c>
      <c r="J123" s="3"/>
      <c r="K123" s="3">
        <f t="shared" si="10"/>
        <v>428</v>
      </c>
      <c r="L123" s="3">
        <f t="shared" si="3"/>
        <v>14</v>
      </c>
      <c r="M123" s="3"/>
      <c r="N123" s="3"/>
      <c r="O123" s="3"/>
      <c r="P123" s="3">
        <v>0</v>
      </c>
      <c r="Q123" s="3">
        <v>0</v>
      </c>
      <c r="R123" s="3">
        <v>394</v>
      </c>
      <c r="S123" s="3" t="s">
        <v>21</v>
      </c>
      <c r="U123" s="3" t="s">
        <v>29</v>
      </c>
    </row>
    <row r="124" spans="1:21" x14ac:dyDescent="0.25">
      <c r="A124" s="3" t="s">
        <v>1023</v>
      </c>
      <c r="B124" s="3" t="s">
        <v>1024</v>
      </c>
      <c r="C124" s="3" t="s">
        <v>1025</v>
      </c>
      <c r="D124" s="3" t="s">
        <v>1026</v>
      </c>
      <c r="E124" s="3" t="s">
        <v>1027</v>
      </c>
      <c r="F124" s="3" t="s">
        <v>1028</v>
      </c>
      <c r="G124" s="3" t="s">
        <v>372</v>
      </c>
      <c r="H124" s="3">
        <v>1</v>
      </c>
      <c r="I124" s="3" t="s">
        <v>373</v>
      </c>
      <c r="J124" s="3"/>
      <c r="K124" s="3">
        <f t="shared" si="10"/>
        <v>358</v>
      </c>
      <c r="L124" s="3">
        <f t="shared" si="3"/>
        <v>11</v>
      </c>
      <c r="M124" s="3"/>
      <c r="N124" s="3"/>
      <c r="O124" s="3"/>
      <c r="P124" s="3">
        <v>0</v>
      </c>
      <c r="Q124" s="3">
        <v>0</v>
      </c>
      <c r="R124" s="3">
        <v>394</v>
      </c>
      <c r="S124" s="3" t="s">
        <v>21</v>
      </c>
      <c r="U124" s="3" t="s">
        <v>29</v>
      </c>
    </row>
    <row r="125" spans="1:2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>
        <v>0</v>
      </c>
      <c r="Q125" s="3">
        <v>0</v>
      </c>
      <c r="R125" s="3">
        <v>394</v>
      </c>
      <c r="S125" s="3" t="s">
        <v>21</v>
      </c>
      <c r="U125" s="3" t="s">
        <v>29</v>
      </c>
    </row>
    <row r="126" spans="1:2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>
        <v>0</v>
      </c>
      <c r="Q126" s="3">
        <v>0</v>
      </c>
      <c r="R126" s="3">
        <v>394</v>
      </c>
      <c r="S126" s="3" t="s">
        <v>21</v>
      </c>
      <c r="U126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Inactive member list</vt:lpstr>
      <vt:lpstr>Active Member List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Divyang Dhimmar</cp:lastModifiedBy>
  <dcterms:created xsi:type="dcterms:W3CDTF">2025-09-23T09:54:58Z</dcterms:created>
  <dcterms:modified xsi:type="dcterms:W3CDTF">2025-09-23T09:54:58Z</dcterms:modified>
</cp:coreProperties>
</file>